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Budget vs Actual" sheetId="4" state="visible" r:id="rId4"/>
    <sheet xmlns:r="http://schemas.openxmlformats.org/officeDocument/2006/relationships" name="Scenario Analysis" sheetId="5" state="visible" r:id="rId5"/>
  </sheets>
  <definedNames>
    <definedName name="_xlnm._FilterDatabase" localSheetId="0" hidden="1">'Raw Data'!$A$1:$K$241</definedName>
    <definedName name="_xlnm._FilterDatabase" localSheetId="3" hidden="1">'Budget vs Actual'!$A$1:$G$241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1"/>
    </font>
    <font>
      <name val="Calibri"/>
      <b val="1"/>
      <color rgb="001F4E79"/>
      <sz val="14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4" fontId="4" fillId="0" borderId="1" pivotButton="0" quotePrefix="0" xfId="0"/>
    <xf numFmtId="2" fontId="4" fillId="0" borderId="1" pivotButton="0" quotePrefix="0" xfId="0"/>
    <xf numFmtId="2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Summary'!$A$2:$A$25</f>
            </numRef>
          </cat>
          <val>
            <numRef>
              <f>'Monthly Summary'!$B$2:$B$25</f>
            </numRef>
          </val>
        </ser>
        <ser>
          <idx val="1"/>
          <order val="1"/>
          <tx>
            <strRef>
              <f>'Monthly Summary'!C2</f>
            </strRef>
          </tx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Summary'!$A$2:$A$25</f>
            </numRef>
          </cat>
          <val>
            <numRef>
              <f>'Monthly Summary'!$C$3:$C$25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Date</t>
        </is>
      </c>
      <c r="B1" s="1" t="inlineStr">
        <is>
          <t>Month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Income</t>
        </is>
      </c>
      <c r="F1" s="1" t="inlineStr">
        <is>
          <t>Budget</t>
        </is>
      </c>
      <c r="G1" s="1" t="inlineStr">
        <is>
          <t>Payment_Method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Budget_Variance</t>
        </is>
      </c>
      <c r="K1" s="1" t="inlineStr">
        <is>
          <t>Savings_Rate</t>
        </is>
      </c>
    </row>
    <row r="2">
      <c r="A2" s="2" t="n">
        <v>44945</v>
      </c>
      <c r="B2" s="3" t="inlineStr">
        <is>
          <t>2023-01</t>
        </is>
      </c>
      <c r="C2" s="3" t="inlineStr">
        <is>
          <t>Housing</t>
        </is>
      </c>
      <c r="D2" s="4" t="n">
        <v>11444.06</v>
      </c>
      <c r="E2" s="4" t="n">
        <v>54874.54</v>
      </c>
      <c r="F2" s="4" t="n">
        <v>12500</v>
      </c>
      <c r="G2" s="3" t="inlineStr">
        <is>
          <t>Credit Card</t>
        </is>
      </c>
      <c r="H2" s="3" t="n">
        <v>2023</v>
      </c>
      <c r="I2" s="3" t="inlineStr">
        <is>
          <t>Q1</t>
        </is>
      </c>
      <c r="J2" s="4" t="n">
        <v>1055.940000000001</v>
      </c>
      <c r="K2" s="5" t="n">
        <v>79.15000000000001</v>
      </c>
    </row>
    <row r="3">
      <c r="A3" s="6" t="n">
        <v>44937</v>
      </c>
      <c r="B3" s="7" t="inlineStr">
        <is>
          <t>2023-01</t>
        </is>
      </c>
      <c r="C3" s="7" t="inlineStr">
        <is>
          <t>Food</t>
        </is>
      </c>
      <c r="D3" s="8" t="n">
        <v>6818.9</v>
      </c>
      <c r="E3" s="8" t="n">
        <v>54874.54</v>
      </c>
      <c r="F3" s="8" t="n">
        <v>6000</v>
      </c>
      <c r="G3" s="7" t="inlineStr">
        <is>
          <t>UPI</t>
        </is>
      </c>
      <c r="H3" s="7" t="n">
        <v>2023</v>
      </c>
      <c r="I3" s="7" t="inlineStr">
        <is>
          <t>Q1</t>
        </is>
      </c>
      <c r="J3" s="8" t="n">
        <v>-818.8999999999996</v>
      </c>
      <c r="K3" s="9" t="n">
        <v>87.56999999999999</v>
      </c>
    </row>
    <row r="4">
      <c r="A4" s="2" t="n">
        <v>44948</v>
      </c>
      <c r="B4" s="3" t="inlineStr">
        <is>
          <t>2023-01</t>
        </is>
      </c>
      <c r="C4" s="3" t="inlineStr">
        <is>
          <t>Transport</t>
        </is>
      </c>
      <c r="D4" s="4" t="n">
        <v>4147.53</v>
      </c>
      <c r="E4" s="4" t="n">
        <v>54874.54</v>
      </c>
      <c r="F4" s="4" t="n">
        <v>3000</v>
      </c>
      <c r="G4" s="3" t="inlineStr">
        <is>
          <t>Credit Card</t>
        </is>
      </c>
      <c r="H4" s="3" t="n">
        <v>2023</v>
      </c>
      <c r="I4" s="3" t="inlineStr">
        <is>
          <t>Q1</t>
        </is>
      </c>
      <c r="J4" s="4" t="n">
        <v>-1147.53</v>
      </c>
      <c r="K4" s="5" t="n">
        <v>92.44</v>
      </c>
    </row>
    <row r="5">
      <c r="A5" s="6" t="n">
        <v>44950</v>
      </c>
      <c r="B5" s="7" t="inlineStr">
        <is>
          <t>2023-01</t>
        </is>
      </c>
      <c r="C5" s="7" t="inlineStr">
        <is>
          <t>Healthcare</t>
        </is>
      </c>
      <c r="D5" s="8" t="n">
        <v>2413.95</v>
      </c>
      <c r="E5" s="8" t="n">
        <v>54874.54</v>
      </c>
      <c r="F5" s="8" t="n">
        <v>2000</v>
      </c>
      <c r="G5" s="7" t="inlineStr">
        <is>
          <t>UPI</t>
        </is>
      </c>
      <c r="H5" s="7" t="n">
        <v>2023</v>
      </c>
      <c r="I5" s="7" t="inlineStr">
        <is>
          <t>Q1</t>
        </is>
      </c>
      <c r="J5" s="8" t="n">
        <v>-413.9499999999998</v>
      </c>
      <c r="K5" s="9" t="n">
        <v>95.59999999999999</v>
      </c>
    </row>
    <row r="6">
      <c r="A6" s="2" t="n">
        <v>44947</v>
      </c>
      <c r="B6" s="3" t="inlineStr">
        <is>
          <t>2023-01</t>
        </is>
      </c>
      <c r="C6" s="3" t="inlineStr">
        <is>
          <t>Entertainment</t>
        </is>
      </c>
      <c r="D6" s="4" t="n">
        <v>2093.39</v>
      </c>
      <c r="E6" s="4" t="n">
        <v>54874.54</v>
      </c>
      <c r="F6" s="4" t="n">
        <v>2000</v>
      </c>
      <c r="G6" s="3" t="inlineStr">
        <is>
          <t>Cash</t>
        </is>
      </c>
      <c r="H6" s="3" t="n">
        <v>2023</v>
      </c>
      <c r="I6" s="3" t="inlineStr">
        <is>
          <t>Q1</t>
        </is>
      </c>
      <c r="J6" s="4" t="n">
        <v>-93.38999999999989</v>
      </c>
      <c r="K6" s="5" t="n">
        <v>96.19</v>
      </c>
    </row>
    <row r="7">
      <c r="A7" s="6" t="n">
        <v>44952</v>
      </c>
      <c r="B7" s="7" t="inlineStr">
        <is>
          <t>2023-01</t>
        </is>
      </c>
      <c r="C7" s="7" t="inlineStr">
        <is>
          <t>Education</t>
        </is>
      </c>
      <c r="D7" s="8" t="n">
        <v>1789.93</v>
      </c>
      <c r="E7" s="8" t="n">
        <v>54874.54</v>
      </c>
      <c r="F7" s="8" t="n">
        <v>2500</v>
      </c>
      <c r="G7" s="7" t="inlineStr">
        <is>
          <t>Debit Card</t>
        </is>
      </c>
      <c r="H7" s="7" t="n">
        <v>2023</v>
      </c>
      <c r="I7" s="7" t="inlineStr">
        <is>
          <t>Q1</t>
        </is>
      </c>
      <c r="J7" s="8" t="n">
        <v>710.0699999999999</v>
      </c>
      <c r="K7" s="9" t="n">
        <v>96.73999999999999</v>
      </c>
    </row>
    <row r="8">
      <c r="A8" s="2" t="n">
        <v>44953</v>
      </c>
      <c r="B8" s="3" t="inlineStr">
        <is>
          <t>2023-01</t>
        </is>
      </c>
      <c r="C8" s="3" t="inlineStr">
        <is>
          <t>Shopping</t>
        </is>
      </c>
      <c r="D8" s="4" t="n">
        <v>1930.1</v>
      </c>
      <c r="E8" s="4" t="n">
        <v>54874.54</v>
      </c>
      <c r="F8" s="4" t="n">
        <v>3500</v>
      </c>
      <c r="G8" s="3" t="inlineStr">
        <is>
          <t>Debit Card</t>
        </is>
      </c>
      <c r="H8" s="3" t="n">
        <v>2023</v>
      </c>
      <c r="I8" s="3" t="inlineStr">
        <is>
          <t>Q1</t>
        </is>
      </c>
      <c r="J8" s="4" t="n">
        <v>1569.9</v>
      </c>
      <c r="K8" s="5" t="n">
        <v>96.48</v>
      </c>
    </row>
    <row r="9">
      <c r="A9" s="6" t="n">
        <v>44954</v>
      </c>
      <c r="B9" s="7" t="inlineStr">
        <is>
          <t>2023-01</t>
        </is>
      </c>
      <c r="C9" s="7" t="inlineStr">
        <is>
          <t>Utilities</t>
        </is>
      </c>
      <c r="D9" s="8" t="n">
        <v>2031.31</v>
      </c>
      <c r="E9" s="8" t="n">
        <v>54874.54</v>
      </c>
      <c r="F9" s="8" t="n">
        <v>2000</v>
      </c>
      <c r="G9" s="7" t="inlineStr">
        <is>
          <t>Net Banking</t>
        </is>
      </c>
      <c r="H9" s="7" t="n">
        <v>2023</v>
      </c>
      <c r="I9" s="7" t="inlineStr">
        <is>
          <t>Q1</t>
        </is>
      </c>
      <c r="J9" s="8" t="n">
        <v>-31.30999999999995</v>
      </c>
      <c r="K9" s="9" t="n">
        <v>96.3</v>
      </c>
    </row>
    <row r="10">
      <c r="A10" s="2" t="n">
        <v>44956</v>
      </c>
      <c r="B10" s="3" t="inlineStr">
        <is>
          <t>2023-01</t>
        </is>
      </c>
      <c r="C10" s="3" t="inlineStr">
        <is>
          <t>Savings</t>
        </is>
      </c>
      <c r="D10" s="4" t="n">
        <v>4799.16</v>
      </c>
      <c r="E10" s="4" t="n">
        <v>54874.54</v>
      </c>
      <c r="F10" s="4" t="n">
        <v>6000</v>
      </c>
      <c r="G10" s="3" t="inlineStr">
        <is>
          <t>Credit Card</t>
        </is>
      </c>
      <c r="H10" s="3" t="n">
        <v>2023</v>
      </c>
      <c r="I10" s="3" t="inlineStr">
        <is>
          <t>Q1</t>
        </is>
      </c>
      <c r="J10" s="4" t="n">
        <v>1200.84</v>
      </c>
      <c r="K10" s="5" t="n">
        <v>91.25</v>
      </c>
    </row>
    <row r="11">
      <c r="A11" s="6" t="n">
        <v>44949</v>
      </c>
      <c r="B11" s="7" t="inlineStr">
        <is>
          <t>2023-01</t>
        </is>
      </c>
      <c r="C11" s="7" t="inlineStr">
        <is>
          <t>Miscellaneous</t>
        </is>
      </c>
      <c r="D11" s="8" t="n">
        <v>1418.07</v>
      </c>
      <c r="E11" s="8" t="n">
        <v>54874.54</v>
      </c>
      <c r="F11" s="8" t="n">
        <v>1500</v>
      </c>
      <c r="G11" s="7" t="inlineStr">
        <is>
          <t>Net Banking</t>
        </is>
      </c>
      <c r="H11" s="7" t="n">
        <v>2023</v>
      </c>
      <c r="I11" s="7" t="inlineStr">
        <is>
          <t>Q1</t>
        </is>
      </c>
      <c r="J11" s="8" t="n">
        <v>81.93000000000006</v>
      </c>
      <c r="K11" s="9" t="n">
        <v>97.42</v>
      </c>
    </row>
    <row r="12">
      <c r="A12" s="2" t="n">
        <v>44966</v>
      </c>
      <c r="B12" s="3" t="inlineStr">
        <is>
          <t>2023-02</t>
        </is>
      </c>
      <c r="C12" s="3" t="inlineStr">
        <is>
          <t>Housing</t>
        </is>
      </c>
      <c r="D12" s="4" t="n">
        <v>12208.51</v>
      </c>
      <c r="E12" s="4" t="n">
        <v>54966.76</v>
      </c>
      <c r="F12" s="4" t="n">
        <v>12500</v>
      </c>
      <c r="G12" s="3" t="inlineStr">
        <is>
          <t>Credit Card</t>
        </is>
      </c>
      <c r="H12" s="3" t="n">
        <v>2023</v>
      </c>
      <c r="I12" s="3" t="inlineStr">
        <is>
          <t>Q1</t>
        </is>
      </c>
      <c r="J12" s="4" t="n">
        <v>291.4899999999998</v>
      </c>
      <c r="K12" s="5" t="n">
        <v>77.79000000000001</v>
      </c>
    </row>
    <row r="13">
      <c r="A13" s="6" t="n">
        <v>44961</v>
      </c>
      <c r="B13" s="7" t="inlineStr">
        <is>
          <t>2023-02</t>
        </is>
      </c>
      <c r="C13" s="7" t="inlineStr">
        <is>
          <t>Food</t>
        </is>
      </c>
      <c r="D13" s="8" t="n">
        <v>7332.46</v>
      </c>
      <c r="E13" s="8" t="n">
        <v>54966.76</v>
      </c>
      <c r="F13" s="8" t="n">
        <v>6000</v>
      </c>
      <c r="G13" s="7" t="inlineStr">
        <is>
          <t>Net Banking</t>
        </is>
      </c>
      <c r="H13" s="7" t="n">
        <v>2023</v>
      </c>
      <c r="I13" s="7" t="inlineStr">
        <is>
          <t>Q1</t>
        </is>
      </c>
      <c r="J13" s="8" t="n">
        <v>-1332.46</v>
      </c>
      <c r="K13" s="9" t="n">
        <v>86.66</v>
      </c>
    </row>
    <row r="14">
      <c r="A14" s="2" t="n">
        <v>44983</v>
      </c>
      <c r="B14" s="3" t="inlineStr">
        <is>
          <t>2023-02</t>
        </is>
      </c>
      <c r="C14" s="3" t="inlineStr">
        <is>
          <t>Transport</t>
        </is>
      </c>
      <c r="D14" s="4" t="n">
        <v>1983.97</v>
      </c>
      <c r="E14" s="4" t="n">
        <v>54966.76</v>
      </c>
      <c r="F14" s="4" t="n">
        <v>3000</v>
      </c>
      <c r="G14" s="3" t="inlineStr">
        <is>
          <t>Credit Card</t>
        </is>
      </c>
      <c r="H14" s="3" t="n">
        <v>2023</v>
      </c>
      <c r="I14" s="3" t="inlineStr">
        <is>
          <t>Q1</t>
        </is>
      </c>
      <c r="J14" s="4" t="n">
        <v>1016.03</v>
      </c>
      <c r="K14" s="5" t="n">
        <v>96.39</v>
      </c>
    </row>
    <row r="15">
      <c r="A15" s="6" t="n">
        <v>44977</v>
      </c>
      <c r="B15" s="7" t="inlineStr">
        <is>
          <t>2023-02</t>
        </is>
      </c>
      <c r="C15" s="7" t="inlineStr">
        <is>
          <t>Healthcare</t>
        </is>
      </c>
      <c r="D15" s="8" t="n">
        <v>2695.54</v>
      </c>
      <c r="E15" s="8" t="n">
        <v>54966.76</v>
      </c>
      <c r="F15" s="8" t="n">
        <v>2000</v>
      </c>
      <c r="G15" s="7" t="inlineStr">
        <is>
          <t>Credit Card</t>
        </is>
      </c>
      <c r="H15" s="7" t="n">
        <v>2023</v>
      </c>
      <c r="I15" s="7" t="inlineStr">
        <is>
          <t>Q1</t>
        </is>
      </c>
      <c r="J15" s="8" t="n">
        <v>-695.54</v>
      </c>
      <c r="K15" s="9" t="n">
        <v>95.09999999999999</v>
      </c>
    </row>
    <row r="16">
      <c r="A16" s="2" t="n">
        <v>44965</v>
      </c>
      <c r="B16" s="3" t="inlineStr">
        <is>
          <t>2023-02</t>
        </is>
      </c>
      <c r="C16" s="3" t="inlineStr">
        <is>
          <t>Entertainment</t>
        </is>
      </c>
      <c r="D16" s="4" t="n">
        <v>3164.19</v>
      </c>
      <c r="E16" s="4" t="n">
        <v>54966.76</v>
      </c>
      <c r="F16" s="4" t="n">
        <v>2000</v>
      </c>
      <c r="G16" s="3" t="inlineStr">
        <is>
          <t>Credit Card</t>
        </is>
      </c>
      <c r="H16" s="3" t="n">
        <v>2023</v>
      </c>
      <c r="I16" s="3" t="inlineStr">
        <is>
          <t>Q1</t>
        </is>
      </c>
      <c r="J16" s="4" t="n">
        <v>-1164.19</v>
      </c>
      <c r="K16" s="5" t="n">
        <v>94.23999999999999</v>
      </c>
    </row>
    <row r="17">
      <c r="A17" s="6" t="n">
        <v>44971</v>
      </c>
      <c r="B17" s="7" t="inlineStr">
        <is>
          <t>2023-02</t>
        </is>
      </c>
      <c r="C17" s="7" t="inlineStr">
        <is>
          <t>Education</t>
        </is>
      </c>
      <c r="D17" s="8" t="n">
        <v>2632.34</v>
      </c>
      <c r="E17" s="8" t="n">
        <v>54966.76</v>
      </c>
      <c r="F17" s="8" t="n">
        <v>2500</v>
      </c>
      <c r="G17" s="7" t="inlineStr">
        <is>
          <t>Debit Card</t>
        </is>
      </c>
      <c r="H17" s="7" t="n">
        <v>2023</v>
      </c>
      <c r="I17" s="7" t="inlineStr">
        <is>
          <t>Q1</t>
        </is>
      </c>
      <c r="J17" s="8" t="n">
        <v>-132.3400000000002</v>
      </c>
      <c r="K17" s="9" t="n">
        <v>95.20999999999999</v>
      </c>
    </row>
    <row r="18">
      <c r="A18" s="2" t="n">
        <v>44963</v>
      </c>
      <c r="B18" s="3" t="inlineStr">
        <is>
          <t>2023-02</t>
        </is>
      </c>
      <c r="C18" s="3" t="inlineStr">
        <is>
          <t>Shopping</t>
        </is>
      </c>
      <c r="D18" s="4" t="n">
        <v>4679.34</v>
      </c>
      <c r="E18" s="4" t="n">
        <v>54966.76</v>
      </c>
      <c r="F18" s="4" t="n">
        <v>3500</v>
      </c>
      <c r="G18" s="3" t="inlineStr">
        <is>
          <t>Credit Card</t>
        </is>
      </c>
      <c r="H18" s="3" t="n">
        <v>2023</v>
      </c>
      <c r="I18" s="3" t="inlineStr">
        <is>
          <t>Q1</t>
        </is>
      </c>
      <c r="J18" s="4" t="n">
        <v>-1179.34</v>
      </c>
      <c r="K18" s="5" t="n">
        <v>91.48999999999999</v>
      </c>
    </row>
    <row r="19">
      <c r="A19" s="6" t="n">
        <v>44961</v>
      </c>
      <c r="B19" s="7" t="inlineStr">
        <is>
          <t>2023-02</t>
        </is>
      </c>
      <c r="C19" s="7" t="inlineStr">
        <is>
          <t>Utilities</t>
        </is>
      </c>
      <c r="D19" s="8" t="n">
        <v>1988.66</v>
      </c>
      <c r="E19" s="8" t="n">
        <v>54966.76</v>
      </c>
      <c r="F19" s="8" t="n">
        <v>2000</v>
      </c>
      <c r="G19" s="7" t="inlineStr">
        <is>
          <t>Credit Card</t>
        </is>
      </c>
      <c r="H19" s="7" t="n">
        <v>2023</v>
      </c>
      <c r="I19" s="7" t="inlineStr">
        <is>
          <t>Q1</t>
        </is>
      </c>
      <c r="J19" s="8" t="n">
        <v>11.33999999999992</v>
      </c>
      <c r="K19" s="9" t="n">
        <v>96.38</v>
      </c>
    </row>
    <row r="20">
      <c r="A20" s="2" t="n">
        <v>44965</v>
      </c>
      <c r="B20" s="3" t="inlineStr">
        <is>
          <t>2023-02</t>
        </is>
      </c>
      <c r="C20" s="3" t="inlineStr">
        <is>
          <t>Savings</t>
        </is>
      </c>
      <c r="D20" s="4" t="n">
        <v>5590.77</v>
      </c>
      <c r="E20" s="4" t="n">
        <v>54966.76</v>
      </c>
      <c r="F20" s="4" t="n">
        <v>6000</v>
      </c>
      <c r="G20" s="3" t="inlineStr">
        <is>
          <t>Cash</t>
        </is>
      </c>
      <c r="H20" s="3" t="n">
        <v>2023</v>
      </c>
      <c r="I20" s="3" t="inlineStr">
        <is>
          <t>Q1</t>
        </is>
      </c>
      <c r="J20" s="4" t="n">
        <v>409.2299999999996</v>
      </c>
      <c r="K20" s="5" t="n">
        <v>89.83</v>
      </c>
    </row>
    <row r="21">
      <c r="A21" s="6" t="n">
        <v>44985</v>
      </c>
      <c r="B21" s="7" t="inlineStr">
        <is>
          <t>2023-02</t>
        </is>
      </c>
      <c r="C21" s="7" t="inlineStr">
        <is>
          <t>Miscellaneous</t>
        </is>
      </c>
      <c r="D21" s="8" t="n">
        <v>1585.68</v>
      </c>
      <c r="E21" s="8" t="n">
        <v>54966.76</v>
      </c>
      <c r="F21" s="8" t="n">
        <v>1500</v>
      </c>
      <c r="G21" s="7" t="inlineStr">
        <is>
          <t>Credit Card</t>
        </is>
      </c>
      <c r="H21" s="7" t="n">
        <v>2023</v>
      </c>
      <c r="I21" s="7" t="inlineStr">
        <is>
          <t>Q1</t>
        </is>
      </c>
      <c r="J21" s="8" t="n">
        <v>-85.68000000000006</v>
      </c>
      <c r="K21" s="9" t="n">
        <v>97.12</v>
      </c>
    </row>
    <row r="22">
      <c r="A22" s="2" t="n">
        <v>45006</v>
      </c>
      <c r="B22" s="3" t="inlineStr">
        <is>
          <t>2023-03</t>
        </is>
      </c>
      <c r="C22" s="3" t="inlineStr">
        <is>
          <t>Housing</t>
        </is>
      </c>
      <c r="D22" s="4" t="n">
        <v>11260.74</v>
      </c>
      <c r="E22" s="4" t="n">
        <v>54825.33</v>
      </c>
      <c r="F22" s="4" t="n">
        <v>12500</v>
      </c>
      <c r="G22" s="3" t="inlineStr">
        <is>
          <t>Cash</t>
        </is>
      </c>
      <c r="H22" s="3" t="n">
        <v>2023</v>
      </c>
      <c r="I22" s="3" t="inlineStr">
        <is>
          <t>Q1</t>
        </is>
      </c>
      <c r="J22" s="4" t="n">
        <v>1239.26</v>
      </c>
      <c r="K22" s="5" t="n">
        <v>79.45999999999999</v>
      </c>
    </row>
    <row r="23">
      <c r="A23" s="6" t="n">
        <v>45010</v>
      </c>
      <c r="B23" s="7" t="inlineStr">
        <is>
          <t>2023-03</t>
        </is>
      </c>
      <c r="C23" s="7" t="inlineStr">
        <is>
          <t>Food</t>
        </is>
      </c>
      <c r="D23" s="8" t="n">
        <v>5780.16</v>
      </c>
      <c r="E23" s="8" t="n">
        <v>54825.33</v>
      </c>
      <c r="F23" s="8" t="n">
        <v>6000</v>
      </c>
      <c r="G23" s="7" t="inlineStr">
        <is>
          <t>Credit Card</t>
        </is>
      </c>
      <c r="H23" s="7" t="n">
        <v>2023</v>
      </c>
      <c r="I23" s="7" t="inlineStr">
        <is>
          <t>Q1</t>
        </is>
      </c>
      <c r="J23" s="8" t="n">
        <v>219.8400000000001</v>
      </c>
      <c r="K23" s="9" t="n">
        <v>89.45999999999999</v>
      </c>
    </row>
    <row r="24">
      <c r="A24" s="2" t="n">
        <v>45000</v>
      </c>
      <c r="B24" s="3" t="inlineStr">
        <is>
          <t>2023-03</t>
        </is>
      </c>
      <c r="C24" s="3" t="inlineStr">
        <is>
          <t>Transport</t>
        </is>
      </c>
      <c r="D24" s="4" t="n">
        <v>2521.67</v>
      </c>
      <c r="E24" s="4" t="n">
        <v>54825.33</v>
      </c>
      <c r="F24" s="4" t="n">
        <v>3000</v>
      </c>
      <c r="G24" s="3" t="inlineStr">
        <is>
          <t>Credit Card</t>
        </is>
      </c>
      <c r="H24" s="3" t="n">
        <v>2023</v>
      </c>
      <c r="I24" s="3" t="inlineStr">
        <is>
          <t>Q1</t>
        </is>
      </c>
      <c r="J24" s="4" t="n">
        <v>478.3299999999999</v>
      </c>
      <c r="K24" s="5" t="n">
        <v>95.40000000000001</v>
      </c>
    </row>
    <row r="25">
      <c r="A25" s="6" t="n">
        <v>45010</v>
      </c>
      <c r="B25" s="7" t="inlineStr">
        <is>
          <t>2023-03</t>
        </is>
      </c>
      <c r="C25" s="7" t="inlineStr">
        <is>
          <t>Healthcare</t>
        </is>
      </c>
      <c r="D25" s="8" t="n">
        <v>1907.54</v>
      </c>
      <c r="E25" s="8" t="n">
        <v>54825.33</v>
      </c>
      <c r="F25" s="8" t="n">
        <v>2000</v>
      </c>
      <c r="G25" s="7" t="inlineStr">
        <is>
          <t>Net Banking</t>
        </is>
      </c>
      <c r="H25" s="7" t="n">
        <v>2023</v>
      </c>
      <c r="I25" s="7" t="inlineStr">
        <is>
          <t>Q1</t>
        </is>
      </c>
      <c r="J25" s="8" t="n">
        <v>92.46000000000004</v>
      </c>
      <c r="K25" s="9" t="n">
        <v>96.52</v>
      </c>
    </row>
    <row r="26">
      <c r="A26" s="2" t="n">
        <v>45009</v>
      </c>
      <c r="B26" s="3" t="inlineStr">
        <is>
          <t>2023-03</t>
        </is>
      </c>
      <c r="C26" s="3" t="inlineStr">
        <is>
          <t>Entertainment</t>
        </is>
      </c>
      <c r="D26" s="4" t="n">
        <v>2026.15</v>
      </c>
      <c r="E26" s="4" t="n">
        <v>54825.33</v>
      </c>
      <c r="F26" s="4" t="n">
        <v>2000</v>
      </c>
      <c r="G26" s="3" t="inlineStr">
        <is>
          <t>Credit Card</t>
        </is>
      </c>
      <c r="H26" s="3" t="n">
        <v>2023</v>
      </c>
      <c r="I26" s="3" t="inlineStr">
        <is>
          <t>Q1</t>
        </is>
      </c>
      <c r="J26" s="4" t="n">
        <v>-26.15000000000009</v>
      </c>
      <c r="K26" s="5" t="n">
        <v>96.3</v>
      </c>
    </row>
    <row r="27">
      <c r="A27" s="6" t="n">
        <v>45004</v>
      </c>
      <c r="B27" s="7" t="inlineStr">
        <is>
          <t>2023-03</t>
        </is>
      </c>
      <c r="C27" s="7" t="inlineStr">
        <is>
          <t>Education</t>
        </is>
      </c>
      <c r="D27" s="8" t="n">
        <v>2244.67</v>
      </c>
      <c r="E27" s="8" t="n">
        <v>54825.33</v>
      </c>
      <c r="F27" s="8" t="n">
        <v>2500</v>
      </c>
      <c r="G27" s="7" t="inlineStr">
        <is>
          <t>UPI</t>
        </is>
      </c>
      <c r="H27" s="7" t="n">
        <v>2023</v>
      </c>
      <c r="I27" s="7" t="inlineStr">
        <is>
          <t>Q1</t>
        </is>
      </c>
      <c r="J27" s="8" t="n">
        <v>255.33</v>
      </c>
      <c r="K27" s="9" t="n">
        <v>95.91</v>
      </c>
    </row>
    <row r="28">
      <c r="A28" s="2" t="n">
        <v>44990</v>
      </c>
      <c r="B28" s="3" t="inlineStr">
        <is>
          <t>2023-03</t>
        </is>
      </c>
      <c r="C28" s="3" t="inlineStr">
        <is>
          <t>Shopping</t>
        </is>
      </c>
      <c r="D28" s="4" t="n">
        <v>5073.2</v>
      </c>
      <c r="E28" s="4" t="n">
        <v>54825.33</v>
      </c>
      <c r="F28" s="4" t="n">
        <v>3500</v>
      </c>
      <c r="G28" s="3" t="inlineStr">
        <is>
          <t>Net Banking</t>
        </is>
      </c>
      <c r="H28" s="3" t="n">
        <v>2023</v>
      </c>
      <c r="I28" s="3" t="inlineStr">
        <is>
          <t>Q1</t>
        </is>
      </c>
      <c r="J28" s="4" t="n">
        <v>-1573.2</v>
      </c>
      <c r="K28" s="5" t="n">
        <v>90.75</v>
      </c>
    </row>
    <row r="29">
      <c r="A29" s="6" t="n">
        <v>45011</v>
      </c>
      <c r="B29" s="7" t="inlineStr">
        <is>
          <t>2023-03</t>
        </is>
      </c>
      <c r="C29" s="7" t="inlineStr">
        <is>
          <t>Utilities</t>
        </is>
      </c>
      <c r="D29" s="8" t="n">
        <v>2426.5</v>
      </c>
      <c r="E29" s="8" t="n">
        <v>54825.33</v>
      </c>
      <c r="F29" s="8" t="n">
        <v>2000</v>
      </c>
      <c r="G29" s="7" t="inlineStr">
        <is>
          <t>Credit Card</t>
        </is>
      </c>
      <c r="H29" s="7" t="n">
        <v>2023</v>
      </c>
      <c r="I29" s="7" t="inlineStr">
        <is>
          <t>Q1</t>
        </is>
      </c>
      <c r="J29" s="8" t="n">
        <v>-426.5</v>
      </c>
      <c r="K29" s="9" t="n">
        <v>95.56999999999999</v>
      </c>
    </row>
    <row r="30">
      <c r="A30" s="2" t="n">
        <v>44987</v>
      </c>
      <c r="B30" s="3" t="inlineStr">
        <is>
          <t>2023-03</t>
        </is>
      </c>
      <c r="C30" s="3" t="inlineStr">
        <is>
          <t>Savings</t>
        </is>
      </c>
      <c r="D30" s="4" t="n">
        <v>5265.01</v>
      </c>
      <c r="E30" s="4" t="n">
        <v>54825.33</v>
      </c>
      <c r="F30" s="4" t="n">
        <v>6000</v>
      </c>
      <c r="G30" s="3" t="inlineStr">
        <is>
          <t>Credit Card</t>
        </is>
      </c>
      <c r="H30" s="3" t="n">
        <v>2023</v>
      </c>
      <c r="I30" s="3" t="inlineStr">
        <is>
          <t>Q1</t>
        </is>
      </c>
      <c r="J30" s="4" t="n">
        <v>734.9899999999998</v>
      </c>
      <c r="K30" s="5" t="n">
        <v>90.40000000000001</v>
      </c>
    </row>
    <row r="31">
      <c r="A31" s="6" t="n">
        <v>45008</v>
      </c>
      <c r="B31" s="7" t="inlineStr">
        <is>
          <t>2023-03</t>
        </is>
      </c>
      <c r="C31" s="7" t="inlineStr">
        <is>
          <t>Miscellaneous</t>
        </is>
      </c>
      <c r="D31" s="8" t="n">
        <v>1987.77</v>
      </c>
      <c r="E31" s="8" t="n">
        <v>54825.33</v>
      </c>
      <c r="F31" s="8" t="n">
        <v>1500</v>
      </c>
      <c r="G31" s="7" t="inlineStr">
        <is>
          <t>Debit Card</t>
        </is>
      </c>
      <c r="H31" s="7" t="n">
        <v>2023</v>
      </c>
      <c r="I31" s="7" t="inlineStr">
        <is>
          <t>Q1</t>
        </is>
      </c>
      <c r="J31" s="8" t="n">
        <v>-487.77</v>
      </c>
      <c r="K31" s="9" t="n">
        <v>96.37</v>
      </c>
    </row>
    <row r="32">
      <c r="A32" s="2" t="n">
        <v>45043</v>
      </c>
      <c r="B32" s="3" t="inlineStr">
        <is>
          <t>2023-04</t>
        </is>
      </c>
      <c r="C32" s="3" t="inlineStr">
        <is>
          <t>Housing</t>
        </is>
      </c>
      <c r="D32" s="4" t="n">
        <v>12406.26</v>
      </c>
      <c r="E32" s="4" t="n">
        <v>54825.18</v>
      </c>
      <c r="F32" s="4" t="n">
        <v>12500</v>
      </c>
      <c r="G32" s="3" t="inlineStr">
        <is>
          <t>Cash</t>
        </is>
      </c>
      <c r="H32" s="3" t="n">
        <v>2023</v>
      </c>
      <c r="I32" s="3" t="inlineStr">
        <is>
          <t>Q2</t>
        </is>
      </c>
      <c r="J32" s="4" t="n">
        <v>93.73999999999978</v>
      </c>
      <c r="K32" s="5" t="n">
        <v>77.37</v>
      </c>
    </row>
    <row r="33">
      <c r="A33" s="6" t="n">
        <v>45019</v>
      </c>
      <c r="B33" s="7" t="inlineStr">
        <is>
          <t>2023-04</t>
        </is>
      </c>
      <c r="C33" s="7" t="inlineStr">
        <is>
          <t>Food</t>
        </is>
      </c>
      <c r="D33" s="8" t="n">
        <v>7856.24</v>
      </c>
      <c r="E33" s="8" t="n">
        <v>54825.18</v>
      </c>
      <c r="F33" s="8" t="n">
        <v>6000</v>
      </c>
      <c r="G33" s="7" t="inlineStr">
        <is>
          <t>Credit Card</t>
        </is>
      </c>
      <c r="H33" s="7" t="n">
        <v>2023</v>
      </c>
      <c r="I33" s="7" t="inlineStr">
        <is>
          <t>Q2</t>
        </is>
      </c>
      <c r="J33" s="8" t="n">
        <v>-1856.24</v>
      </c>
      <c r="K33" s="9" t="n">
        <v>85.67</v>
      </c>
    </row>
    <row r="34">
      <c r="A34" s="2" t="n">
        <v>45042</v>
      </c>
      <c r="B34" s="3" t="inlineStr">
        <is>
          <t>2023-04</t>
        </is>
      </c>
      <c r="C34" s="3" t="inlineStr">
        <is>
          <t>Transport</t>
        </is>
      </c>
      <c r="D34" s="4" t="n">
        <v>3783.78</v>
      </c>
      <c r="E34" s="4" t="n">
        <v>54825.18</v>
      </c>
      <c r="F34" s="4" t="n">
        <v>3000</v>
      </c>
      <c r="G34" s="3" t="inlineStr">
        <is>
          <t>Credit Card</t>
        </is>
      </c>
      <c r="H34" s="3" t="n">
        <v>2023</v>
      </c>
      <c r="I34" s="3" t="inlineStr">
        <is>
          <t>Q2</t>
        </is>
      </c>
      <c r="J34" s="4" t="n">
        <v>-783.7800000000002</v>
      </c>
      <c r="K34" s="5" t="n">
        <v>93.09999999999999</v>
      </c>
    </row>
    <row r="35">
      <c r="A35" s="6" t="n">
        <v>45030</v>
      </c>
      <c r="B35" s="7" t="inlineStr">
        <is>
          <t>2023-04</t>
        </is>
      </c>
      <c r="C35" s="7" t="inlineStr">
        <is>
          <t>Healthcare</t>
        </is>
      </c>
      <c r="D35" s="8" t="n">
        <v>2436.48</v>
      </c>
      <c r="E35" s="8" t="n">
        <v>54825.18</v>
      </c>
      <c r="F35" s="8" t="n">
        <v>2000</v>
      </c>
      <c r="G35" s="7" t="inlineStr">
        <is>
          <t>Debit Card</t>
        </is>
      </c>
      <c r="H35" s="7" t="n">
        <v>2023</v>
      </c>
      <c r="I35" s="7" t="inlineStr">
        <is>
          <t>Q2</t>
        </is>
      </c>
      <c r="J35" s="8" t="n">
        <v>-436.48</v>
      </c>
      <c r="K35" s="9" t="n">
        <v>95.56</v>
      </c>
    </row>
    <row r="36">
      <c r="A36" s="2" t="n">
        <v>45026</v>
      </c>
      <c r="B36" s="3" t="inlineStr">
        <is>
          <t>2023-04</t>
        </is>
      </c>
      <c r="C36" s="3" t="inlineStr">
        <is>
          <t>Entertainment</t>
        </is>
      </c>
      <c r="D36" s="4" t="n">
        <v>666.1799999999999</v>
      </c>
      <c r="E36" s="4" t="n">
        <v>54825.18</v>
      </c>
      <c r="F36" s="4" t="n">
        <v>2000</v>
      </c>
      <c r="G36" s="3" t="inlineStr">
        <is>
          <t>Debit Card</t>
        </is>
      </c>
      <c r="H36" s="3" t="n">
        <v>2023</v>
      </c>
      <c r="I36" s="3" t="inlineStr">
        <is>
          <t>Q2</t>
        </is>
      </c>
      <c r="J36" s="4" t="n">
        <v>1333.82</v>
      </c>
      <c r="K36" s="5" t="n">
        <v>98.78</v>
      </c>
    </row>
    <row r="37">
      <c r="A37" s="6" t="n">
        <v>45035</v>
      </c>
      <c r="B37" s="7" t="inlineStr">
        <is>
          <t>2023-04</t>
        </is>
      </c>
      <c r="C37" s="7" t="inlineStr">
        <is>
          <t>Education</t>
        </is>
      </c>
      <c r="D37" s="8" t="n">
        <v>2328.76</v>
      </c>
      <c r="E37" s="8" t="n">
        <v>54825.18</v>
      </c>
      <c r="F37" s="8" t="n">
        <v>2500</v>
      </c>
      <c r="G37" s="7" t="inlineStr">
        <is>
          <t>Credit Card</t>
        </is>
      </c>
      <c r="H37" s="7" t="n">
        <v>2023</v>
      </c>
      <c r="I37" s="7" t="inlineStr">
        <is>
          <t>Q2</t>
        </is>
      </c>
      <c r="J37" s="8" t="n">
        <v>171.2399999999998</v>
      </c>
      <c r="K37" s="9" t="n">
        <v>95.75</v>
      </c>
    </row>
    <row r="38">
      <c r="A38" s="2" t="n">
        <v>45020</v>
      </c>
      <c r="B38" s="3" t="inlineStr">
        <is>
          <t>2023-04</t>
        </is>
      </c>
      <c r="C38" s="3" t="inlineStr">
        <is>
          <t>Shopping</t>
        </is>
      </c>
      <c r="D38" s="4" t="n">
        <v>2297.5</v>
      </c>
      <c r="E38" s="4" t="n">
        <v>54825.18</v>
      </c>
      <c r="F38" s="4" t="n">
        <v>3500</v>
      </c>
      <c r="G38" s="3" t="inlineStr">
        <is>
          <t>Net Banking</t>
        </is>
      </c>
      <c r="H38" s="3" t="n">
        <v>2023</v>
      </c>
      <c r="I38" s="3" t="inlineStr">
        <is>
          <t>Q2</t>
        </is>
      </c>
      <c r="J38" s="4" t="n">
        <v>1202.5</v>
      </c>
      <c r="K38" s="5" t="n">
        <v>95.81</v>
      </c>
    </row>
    <row r="39">
      <c r="A39" s="6" t="n">
        <v>45039</v>
      </c>
      <c r="B39" s="7" t="inlineStr">
        <is>
          <t>2023-04</t>
        </is>
      </c>
      <c r="C39" s="7" t="inlineStr">
        <is>
          <t>Utilities</t>
        </is>
      </c>
      <c r="D39" s="8" t="n">
        <v>2512.75</v>
      </c>
      <c r="E39" s="8" t="n">
        <v>54825.18</v>
      </c>
      <c r="F39" s="8" t="n">
        <v>2000</v>
      </c>
      <c r="G39" s="7" t="inlineStr">
        <is>
          <t>Cash</t>
        </is>
      </c>
      <c r="H39" s="7" t="n">
        <v>2023</v>
      </c>
      <c r="I39" s="7" t="inlineStr">
        <is>
          <t>Q2</t>
        </is>
      </c>
      <c r="J39" s="8" t="n">
        <v>-512.75</v>
      </c>
      <c r="K39" s="9" t="n">
        <v>95.42</v>
      </c>
    </row>
    <row r="40">
      <c r="A40" s="2" t="n">
        <v>45029</v>
      </c>
      <c r="B40" s="3" t="inlineStr">
        <is>
          <t>2023-04</t>
        </is>
      </c>
      <c r="C40" s="3" t="inlineStr">
        <is>
          <t>Savings</t>
        </is>
      </c>
      <c r="D40" s="4" t="n">
        <v>3865.12</v>
      </c>
      <c r="E40" s="4" t="n">
        <v>54825.18</v>
      </c>
      <c r="F40" s="4" t="n">
        <v>6000</v>
      </c>
      <c r="G40" s="3" t="inlineStr">
        <is>
          <t>Credit Card</t>
        </is>
      </c>
      <c r="H40" s="3" t="n">
        <v>2023</v>
      </c>
      <c r="I40" s="3" t="inlineStr">
        <is>
          <t>Q2</t>
        </is>
      </c>
      <c r="J40" s="4" t="n">
        <v>2134.88</v>
      </c>
      <c r="K40" s="5" t="n">
        <v>92.95</v>
      </c>
    </row>
    <row r="41">
      <c r="A41" s="6" t="n">
        <v>45043</v>
      </c>
      <c r="B41" s="7" t="inlineStr">
        <is>
          <t>2023-04</t>
        </is>
      </c>
      <c r="C41" s="7" t="inlineStr">
        <is>
          <t>Miscellaneous</t>
        </is>
      </c>
      <c r="D41" s="8" t="n">
        <v>1595.17</v>
      </c>
      <c r="E41" s="8" t="n">
        <v>54825.18</v>
      </c>
      <c r="F41" s="8" t="n">
        <v>1500</v>
      </c>
      <c r="G41" s="7" t="inlineStr">
        <is>
          <t>Cash</t>
        </is>
      </c>
      <c r="H41" s="7" t="n">
        <v>2023</v>
      </c>
      <c r="I41" s="7" t="inlineStr">
        <is>
          <t>Q2</t>
        </is>
      </c>
      <c r="J41" s="8" t="n">
        <v>-95.17000000000009</v>
      </c>
      <c r="K41" s="9" t="n">
        <v>97.09</v>
      </c>
    </row>
    <row r="42">
      <c r="A42" s="2" t="n">
        <v>45067</v>
      </c>
      <c r="B42" s="3" t="inlineStr">
        <is>
          <t>2023-05</t>
        </is>
      </c>
      <c r="C42" s="3" t="inlineStr">
        <is>
          <t>Housing</t>
        </is>
      </c>
      <c r="D42" s="4" t="n">
        <v>11980.18</v>
      </c>
      <c r="E42" s="4" t="n">
        <v>55380.47</v>
      </c>
      <c r="F42" s="4" t="n">
        <v>12500</v>
      </c>
      <c r="G42" s="3" t="inlineStr">
        <is>
          <t>UPI</t>
        </is>
      </c>
      <c r="H42" s="3" t="n">
        <v>2023</v>
      </c>
      <c r="I42" s="3" t="inlineStr">
        <is>
          <t>Q2</t>
        </is>
      </c>
      <c r="J42" s="4" t="n">
        <v>519.8199999999997</v>
      </c>
      <c r="K42" s="5" t="n">
        <v>78.37</v>
      </c>
    </row>
    <row r="43">
      <c r="A43" s="6" t="n">
        <v>45074</v>
      </c>
      <c r="B43" s="7" t="inlineStr">
        <is>
          <t>2023-05</t>
        </is>
      </c>
      <c r="C43" s="7" t="inlineStr">
        <is>
          <t>Food</t>
        </is>
      </c>
      <c r="D43" s="8" t="n">
        <v>7392.63</v>
      </c>
      <c r="E43" s="8" t="n">
        <v>55380.47</v>
      </c>
      <c r="F43" s="8" t="n">
        <v>6000</v>
      </c>
      <c r="G43" s="7" t="inlineStr">
        <is>
          <t>Credit Card</t>
        </is>
      </c>
      <c r="H43" s="7" t="n">
        <v>2023</v>
      </c>
      <c r="I43" s="7" t="inlineStr">
        <is>
          <t>Q2</t>
        </is>
      </c>
      <c r="J43" s="8" t="n">
        <v>-1392.63</v>
      </c>
      <c r="K43" s="9" t="n">
        <v>86.65000000000001</v>
      </c>
    </row>
    <row r="44">
      <c r="A44" s="2" t="n">
        <v>45072</v>
      </c>
      <c r="B44" s="3" t="inlineStr">
        <is>
          <t>2023-05</t>
        </is>
      </c>
      <c r="C44" s="3" t="inlineStr">
        <is>
          <t>Transport</t>
        </is>
      </c>
      <c r="D44" s="4" t="n">
        <v>3777.58</v>
      </c>
      <c r="E44" s="4" t="n">
        <v>55380.47</v>
      </c>
      <c r="F44" s="4" t="n">
        <v>3000</v>
      </c>
      <c r="G44" s="3" t="inlineStr">
        <is>
          <t>Credit Card</t>
        </is>
      </c>
      <c r="H44" s="3" t="n">
        <v>2023</v>
      </c>
      <c r="I44" s="3" t="inlineStr">
        <is>
          <t>Q2</t>
        </is>
      </c>
      <c r="J44" s="4" t="n">
        <v>-777.5799999999999</v>
      </c>
      <c r="K44" s="5" t="n">
        <v>93.18000000000001</v>
      </c>
    </row>
    <row r="45">
      <c r="A45" s="6" t="n">
        <v>45071</v>
      </c>
      <c r="B45" s="7" t="inlineStr">
        <is>
          <t>2023-05</t>
        </is>
      </c>
      <c r="C45" s="7" t="inlineStr">
        <is>
          <t>Healthcare</t>
        </is>
      </c>
      <c r="D45" s="8" t="n">
        <v>1632.25</v>
      </c>
      <c r="E45" s="8" t="n">
        <v>55380.47</v>
      </c>
      <c r="F45" s="8" t="n">
        <v>2000</v>
      </c>
      <c r="G45" s="7" t="inlineStr">
        <is>
          <t>Debit Card</t>
        </is>
      </c>
      <c r="H45" s="7" t="n">
        <v>2023</v>
      </c>
      <c r="I45" s="7" t="inlineStr">
        <is>
          <t>Q2</t>
        </is>
      </c>
      <c r="J45" s="8" t="n">
        <v>367.75</v>
      </c>
      <c r="K45" s="9" t="n">
        <v>97.05</v>
      </c>
    </row>
    <row r="46">
      <c r="A46" s="2" t="n">
        <v>45076</v>
      </c>
      <c r="B46" s="3" t="inlineStr">
        <is>
          <t>2023-05</t>
        </is>
      </c>
      <c r="C46" s="3" t="inlineStr">
        <is>
          <t>Entertainment</t>
        </is>
      </c>
      <c r="D46" s="4" t="n">
        <v>2320.36</v>
      </c>
      <c r="E46" s="4" t="n">
        <v>55380.47</v>
      </c>
      <c r="F46" s="4" t="n">
        <v>2000</v>
      </c>
      <c r="G46" s="3" t="inlineStr">
        <is>
          <t>Credit Card</t>
        </is>
      </c>
      <c r="H46" s="3" t="n">
        <v>2023</v>
      </c>
      <c r="I46" s="3" t="inlineStr">
        <is>
          <t>Q2</t>
        </is>
      </c>
      <c r="J46" s="4" t="n">
        <v>-320.3600000000001</v>
      </c>
      <c r="K46" s="5" t="n">
        <v>95.81</v>
      </c>
    </row>
    <row r="47">
      <c r="A47" s="6" t="n">
        <v>45059</v>
      </c>
      <c r="B47" s="7" t="inlineStr">
        <is>
          <t>2023-05</t>
        </is>
      </c>
      <c r="C47" s="7" t="inlineStr">
        <is>
          <t>Education</t>
        </is>
      </c>
      <c r="D47" s="8" t="n">
        <v>1852.87</v>
      </c>
      <c r="E47" s="8" t="n">
        <v>55380.47</v>
      </c>
      <c r="F47" s="8" t="n">
        <v>2500</v>
      </c>
      <c r="G47" s="7" t="inlineStr">
        <is>
          <t>UPI</t>
        </is>
      </c>
      <c r="H47" s="7" t="n">
        <v>2023</v>
      </c>
      <c r="I47" s="7" t="inlineStr">
        <is>
          <t>Q2</t>
        </is>
      </c>
      <c r="J47" s="8" t="n">
        <v>647.1300000000001</v>
      </c>
      <c r="K47" s="9" t="n">
        <v>96.65000000000001</v>
      </c>
    </row>
    <row r="48">
      <c r="A48" s="2" t="n">
        <v>45055</v>
      </c>
      <c r="B48" s="3" t="inlineStr">
        <is>
          <t>2023-05</t>
        </is>
      </c>
      <c r="C48" s="3" t="inlineStr">
        <is>
          <t>Shopping</t>
        </is>
      </c>
      <c r="D48" s="4" t="n">
        <v>4006.14</v>
      </c>
      <c r="E48" s="4" t="n">
        <v>55380.47</v>
      </c>
      <c r="F48" s="4" t="n">
        <v>3500</v>
      </c>
      <c r="G48" s="3" t="inlineStr">
        <is>
          <t>Debit Card</t>
        </is>
      </c>
      <c r="H48" s="3" t="n">
        <v>2023</v>
      </c>
      <c r="I48" s="3" t="inlineStr">
        <is>
          <t>Q2</t>
        </is>
      </c>
      <c r="J48" s="4" t="n">
        <v>-506.1399999999999</v>
      </c>
      <c r="K48" s="5" t="n">
        <v>92.77</v>
      </c>
    </row>
    <row r="49">
      <c r="A49" s="6" t="n">
        <v>45047</v>
      </c>
      <c r="B49" s="7" t="inlineStr">
        <is>
          <t>2023-05</t>
        </is>
      </c>
      <c r="C49" s="7" t="inlineStr">
        <is>
          <t>Utilities</t>
        </is>
      </c>
      <c r="D49" s="8" t="n">
        <v>2129.62</v>
      </c>
      <c r="E49" s="8" t="n">
        <v>55380.47</v>
      </c>
      <c r="F49" s="8" t="n">
        <v>2000</v>
      </c>
      <c r="G49" s="7" t="inlineStr">
        <is>
          <t>Other</t>
        </is>
      </c>
      <c r="H49" s="7" t="n">
        <v>2023</v>
      </c>
      <c r="I49" s="7" t="inlineStr">
        <is>
          <t>Q2</t>
        </is>
      </c>
      <c r="J49" s="8" t="n">
        <v>-129.6199999999999</v>
      </c>
      <c r="K49" s="9" t="n">
        <v>96.15000000000001</v>
      </c>
    </row>
    <row r="50">
      <c r="A50" s="2" t="n">
        <v>45068</v>
      </c>
      <c r="B50" s="3" t="inlineStr">
        <is>
          <t>2023-05</t>
        </is>
      </c>
      <c r="C50" s="3" t="inlineStr">
        <is>
          <t>Savings</t>
        </is>
      </c>
      <c r="D50" s="4" t="n">
        <v>5362.35</v>
      </c>
      <c r="E50" s="4" t="n">
        <v>55380.47</v>
      </c>
      <c r="F50" s="4" t="n">
        <v>6000</v>
      </c>
      <c r="G50" s="3" t="inlineStr">
        <is>
          <t>Credit Card</t>
        </is>
      </c>
      <c r="H50" s="3" t="n">
        <v>2023</v>
      </c>
      <c r="I50" s="3" t="inlineStr">
        <is>
          <t>Q2</t>
        </is>
      </c>
      <c r="J50" s="4" t="n">
        <v>637.6499999999996</v>
      </c>
      <c r="K50" s="5" t="n">
        <v>90.31999999999999</v>
      </c>
    </row>
    <row r="51">
      <c r="A51" s="6" t="n">
        <v>45070</v>
      </c>
      <c r="B51" s="7" t="inlineStr">
        <is>
          <t>2023-05</t>
        </is>
      </c>
      <c r="C51" s="7" t="inlineStr">
        <is>
          <t>Miscellaneous</t>
        </is>
      </c>
      <c r="D51" s="8" t="n">
        <v>1416.97</v>
      </c>
      <c r="E51" s="8" t="n">
        <v>55380.47</v>
      </c>
      <c r="F51" s="8" t="n">
        <v>1500</v>
      </c>
      <c r="G51" s="7" t="inlineStr">
        <is>
          <t>UPI</t>
        </is>
      </c>
      <c r="H51" s="7" t="n">
        <v>2023</v>
      </c>
      <c r="I51" s="7" t="inlineStr">
        <is>
          <t>Q2</t>
        </is>
      </c>
      <c r="J51" s="8" t="n">
        <v>83.02999999999997</v>
      </c>
      <c r="K51" s="9" t="n">
        <v>97.44</v>
      </c>
    </row>
    <row r="52">
      <c r="A52" s="2" t="n">
        <v>45094</v>
      </c>
      <c r="B52" s="3" t="inlineStr">
        <is>
          <t>2023-06</t>
        </is>
      </c>
      <c r="C52" s="3" t="inlineStr">
        <is>
          <t>Housing</t>
        </is>
      </c>
      <c r="D52" s="4" t="n">
        <v>11990.72</v>
      </c>
      <c r="E52" s="4" t="n">
        <v>54863.63</v>
      </c>
      <c r="F52" s="4" t="n">
        <v>12500</v>
      </c>
      <c r="G52" s="3" t="inlineStr">
        <is>
          <t>Credit Card</t>
        </is>
      </c>
      <c r="H52" s="3" t="n">
        <v>2023</v>
      </c>
      <c r="I52" s="3" t="inlineStr">
        <is>
          <t>Q2</t>
        </is>
      </c>
      <c r="J52" s="4" t="n">
        <v>509.2800000000007</v>
      </c>
      <c r="K52" s="5" t="n">
        <v>78.14</v>
      </c>
    </row>
    <row r="53">
      <c r="A53" s="6" t="n">
        <v>45101</v>
      </c>
      <c r="B53" s="7" t="inlineStr">
        <is>
          <t>2023-06</t>
        </is>
      </c>
      <c r="C53" s="7" t="inlineStr">
        <is>
          <t>Food</t>
        </is>
      </c>
      <c r="D53" s="8" t="n">
        <v>5801.5</v>
      </c>
      <c r="E53" s="8" t="n">
        <v>54863.63</v>
      </c>
      <c r="F53" s="8" t="n">
        <v>6000</v>
      </c>
      <c r="G53" s="7" t="inlineStr">
        <is>
          <t>Credit Card</t>
        </is>
      </c>
      <c r="H53" s="7" t="n">
        <v>2023</v>
      </c>
      <c r="I53" s="7" t="inlineStr">
        <is>
          <t>Q2</t>
        </is>
      </c>
      <c r="J53" s="8" t="n">
        <v>198.5</v>
      </c>
      <c r="K53" s="9" t="n">
        <v>89.43000000000001</v>
      </c>
    </row>
    <row r="54">
      <c r="A54" s="2" t="n">
        <v>45099</v>
      </c>
      <c r="B54" s="3" t="inlineStr">
        <is>
          <t>2023-06</t>
        </is>
      </c>
      <c r="C54" s="3" t="inlineStr">
        <is>
          <t>Transport</t>
        </is>
      </c>
      <c r="D54" s="4" t="n">
        <v>3236.14</v>
      </c>
      <c r="E54" s="4" t="n">
        <v>54863.63</v>
      </c>
      <c r="F54" s="4" t="n">
        <v>3000</v>
      </c>
      <c r="G54" s="3" t="inlineStr">
        <is>
          <t>Credit Card</t>
        </is>
      </c>
      <c r="H54" s="3" t="n">
        <v>2023</v>
      </c>
      <c r="I54" s="3" t="inlineStr">
        <is>
          <t>Q2</t>
        </is>
      </c>
      <c r="J54" s="4" t="n">
        <v>-236.1399999999999</v>
      </c>
      <c r="K54" s="5" t="n">
        <v>94.09999999999999</v>
      </c>
    </row>
    <row r="55">
      <c r="A55" s="6" t="n">
        <v>45078</v>
      </c>
      <c r="B55" s="7" t="inlineStr">
        <is>
          <t>2023-06</t>
        </is>
      </c>
      <c r="C55" s="7" t="inlineStr">
        <is>
          <t>Healthcare</t>
        </is>
      </c>
      <c r="D55" s="8" t="n">
        <v>3770.59</v>
      </c>
      <c r="E55" s="8" t="n">
        <v>54863.63</v>
      </c>
      <c r="F55" s="8" t="n">
        <v>2000</v>
      </c>
      <c r="G55" s="7" t="inlineStr">
        <is>
          <t>Cash</t>
        </is>
      </c>
      <c r="H55" s="7" t="n">
        <v>2023</v>
      </c>
      <c r="I55" s="7" t="inlineStr">
        <is>
          <t>Q2</t>
        </is>
      </c>
      <c r="J55" s="8" t="n">
        <v>-1770.59</v>
      </c>
      <c r="K55" s="9" t="n">
        <v>93.13</v>
      </c>
    </row>
    <row r="56">
      <c r="A56" s="2" t="n">
        <v>45103</v>
      </c>
      <c r="B56" s="3" t="inlineStr">
        <is>
          <t>2023-06</t>
        </is>
      </c>
      <c r="C56" s="3" t="inlineStr">
        <is>
          <t>Entertainment</t>
        </is>
      </c>
      <c r="D56" s="4" t="n">
        <v>3111.62</v>
      </c>
      <c r="E56" s="4" t="n">
        <v>54863.63</v>
      </c>
      <c r="F56" s="4" t="n">
        <v>2000</v>
      </c>
      <c r="G56" s="3" t="inlineStr">
        <is>
          <t>Net Banking</t>
        </is>
      </c>
      <c r="H56" s="3" t="n">
        <v>2023</v>
      </c>
      <c r="I56" s="3" t="inlineStr">
        <is>
          <t>Q2</t>
        </is>
      </c>
      <c r="J56" s="4" t="n">
        <v>-1111.62</v>
      </c>
      <c r="K56" s="5" t="n">
        <v>94.33</v>
      </c>
    </row>
    <row r="57">
      <c r="A57" s="6" t="n">
        <v>45100</v>
      </c>
      <c r="B57" s="7" t="inlineStr">
        <is>
          <t>2023-06</t>
        </is>
      </c>
      <c r="C57" s="7" t="inlineStr">
        <is>
          <t>Education</t>
        </is>
      </c>
      <c r="D57" s="8" t="n">
        <v>2789.83</v>
      </c>
      <c r="E57" s="8" t="n">
        <v>54863.63</v>
      </c>
      <c r="F57" s="8" t="n">
        <v>2500</v>
      </c>
      <c r="G57" s="7" t="inlineStr">
        <is>
          <t>Cash</t>
        </is>
      </c>
      <c r="H57" s="7" t="n">
        <v>2023</v>
      </c>
      <c r="I57" s="7" t="inlineStr">
        <is>
          <t>Q2</t>
        </is>
      </c>
      <c r="J57" s="8" t="n">
        <v>-289.8299999999999</v>
      </c>
      <c r="K57" s="9" t="n">
        <v>94.91</v>
      </c>
    </row>
    <row r="58">
      <c r="A58" s="2" t="n">
        <v>45083</v>
      </c>
      <c r="B58" s="3" t="inlineStr">
        <is>
          <t>2023-06</t>
        </is>
      </c>
      <c r="C58" s="3" t="inlineStr">
        <is>
          <t>Shopping</t>
        </is>
      </c>
      <c r="D58" s="4" t="n">
        <v>3669.6</v>
      </c>
      <c r="E58" s="4" t="n">
        <v>54863.63</v>
      </c>
      <c r="F58" s="4" t="n">
        <v>3500</v>
      </c>
      <c r="G58" s="3" t="inlineStr">
        <is>
          <t>Debit Card</t>
        </is>
      </c>
      <c r="H58" s="3" t="n">
        <v>2023</v>
      </c>
      <c r="I58" s="3" t="inlineStr">
        <is>
          <t>Q2</t>
        </is>
      </c>
      <c r="J58" s="4" t="n">
        <v>-169.5999999999999</v>
      </c>
      <c r="K58" s="5" t="n">
        <v>93.31</v>
      </c>
    </row>
    <row r="59">
      <c r="A59" s="6" t="n">
        <v>45097</v>
      </c>
      <c r="B59" s="7" t="inlineStr">
        <is>
          <t>2023-06</t>
        </is>
      </c>
      <c r="C59" s="7" t="inlineStr">
        <is>
          <t>Utilities</t>
        </is>
      </c>
      <c r="D59" s="8" t="n">
        <v>2129.62</v>
      </c>
      <c r="E59" s="8" t="n">
        <v>54863.63</v>
      </c>
      <c r="F59" s="8" t="n">
        <v>2000</v>
      </c>
      <c r="G59" s="7" t="inlineStr">
        <is>
          <t>Net Banking</t>
        </is>
      </c>
      <c r="H59" s="7" t="n">
        <v>2023</v>
      </c>
      <c r="I59" s="7" t="inlineStr">
        <is>
          <t>Q2</t>
        </is>
      </c>
      <c r="J59" s="8" t="n">
        <v>-129.6199999999999</v>
      </c>
      <c r="K59" s="9" t="n">
        <v>96.12</v>
      </c>
    </row>
    <row r="60">
      <c r="A60" s="2" t="n">
        <v>45093</v>
      </c>
      <c r="B60" s="3" t="inlineStr">
        <is>
          <t>2023-06</t>
        </is>
      </c>
      <c r="C60" s="3" t="inlineStr">
        <is>
          <t>Savings</t>
        </is>
      </c>
      <c r="D60" s="4" t="n">
        <v>5974.44</v>
      </c>
      <c r="E60" s="4" t="n">
        <v>54863.63</v>
      </c>
      <c r="F60" s="4" t="n">
        <v>6000</v>
      </c>
      <c r="G60" s="3" t="inlineStr">
        <is>
          <t>UPI</t>
        </is>
      </c>
      <c r="H60" s="3" t="n">
        <v>2023</v>
      </c>
      <c r="I60" s="3" t="inlineStr">
        <is>
          <t>Q2</t>
        </is>
      </c>
      <c r="J60" s="4" t="n">
        <v>25.5600000000004</v>
      </c>
      <c r="K60" s="5" t="n">
        <v>89.11</v>
      </c>
    </row>
    <row r="61">
      <c r="A61" s="6" t="n">
        <v>45105</v>
      </c>
      <c r="B61" s="7" t="inlineStr">
        <is>
          <t>2023-06</t>
        </is>
      </c>
      <c r="C61" s="7" t="inlineStr">
        <is>
          <t>Miscellaneous</t>
        </is>
      </c>
      <c r="D61" s="8" t="n">
        <v>1305.27</v>
      </c>
      <c r="E61" s="8" t="n">
        <v>54863.63</v>
      </c>
      <c r="F61" s="8" t="n">
        <v>1500</v>
      </c>
      <c r="G61" s="7" t="inlineStr">
        <is>
          <t>Debit Card</t>
        </is>
      </c>
      <c r="H61" s="7" t="n">
        <v>2023</v>
      </c>
      <c r="I61" s="7" t="inlineStr">
        <is>
          <t>Q2</t>
        </is>
      </c>
      <c r="J61" s="8" t="n">
        <v>194.73</v>
      </c>
      <c r="K61" s="9" t="n">
        <v>97.62</v>
      </c>
    </row>
    <row r="62">
      <c r="A62" s="2" t="n">
        <v>45111</v>
      </c>
      <c r="B62" s="3" t="inlineStr">
        <is>
          <t>2023-07</t>
        </is>
      </c>
      <c r="C62" s="3" t="inlineStr">
        <is>
          <t>Housing</t>
        </is>
      </c>
      <c r="D62" s="4" t="n">
        <v>11791.77</v>
      </c>
      <c r="E62" s="4" t="n">
        <v>55195.81</v>
      </c>
      <c r="F62" s="4" t="n">
        <v>12500</v>
      </c>
      <c r="G62" s="3" t="inlineStr">
        <is>
          <t>Credit Card</t>
        </is>
      </c>
      <c r="H62" s="3" t="n">
        <v>2023</v>
      </c>
      <c r="I62" s="3" t="inlineStr">
        <is>
          <t>Q3</t>
        </is>
      </c>
      <c r="J62" s="4" t="n">
        <v>708.2299999999996</v>
      </c>
      <c r="K62" s="5" t="n">
        <v>78.64</v>
      </c>
    </row>
    <row r="63">
      <c r="A63" s="6" t="n">
        <v>45110</v>
      </c>
      <c r="B63" s="7" t="inlineStr">
        <is>
          <t>2023-07</t>
        </is>
      </c>
      <c r="C63" s="7" t="inlineStr">
        <is>
          <t>Food</t>
        </is>
      </c>
      <c r="D63" s="8" t="n">
        <v>8332.5</v>
      </c>
      <c r="E63" s="8" t="n">
        <v>55195.81</v>
      </c>
      <c r="F63" s="8" t="n">
        <v>6000</v>
      </c>
      <c r="G63" s="7" t="inlineStr">
        <is>
          <t>UPI</t>
        </is>
      </c>
      <c r="H63" s="7" t="n">
        <v>2023</v>
      </c>
      <c r="I63" s="7" t="inlineStr">
        <is>
          <t>Q3</t>
        </is>
      </c>
      <c r="J63" s="8" t="n">
        <v>-2332.5</v>
      </c>
      <c r="K63" s="9" t="n">
        <v>84.90000000000001</v>
      </c>
    </row>
    <row r="64">
      <c r="A64" s="2" t="n">
        <v>45116</v>
      </c>
      <c r="B64" s="3" t="inlineStr">
        <is>
          <t>2023-07</t>
        </is>
      </c>
      <c r="C64" s="3" t="inlineStr">
        <is>
          <t>Transport</t>
        </is>
      </c>
      <c r="D64" s="4" t="n">
        <v>2767.82</v>
      </c>
      <c r="E64" s="4" t="n">
        <v>55195.81</v>
      </c>
      <c r="F64" s="4" t="n">
        <v>3000</v>
      </c>
      <c r="G64" s="3" t="inlineStr">
        <is>
          <t>Cash</t>
        </is>
      </c>
      <c r="H64" s="3" t="n">
        <v>2023</v>
      </c>
      <c r="I64" s="3" t="inlineStr">
        <is>
          <t>Q3</t>
        </is>
      </c>
      <c r="J64" s="4" t="n">
        <v>232.1799999999998</v>
      </c>
      <c r="K64" s="5" t="n">
        <v>94.98999999999999</v>
      </c>
    </row>
    <row r="65">
      <c r="A65" s="6" t="n">
        <v>45114</v>
      </c>
      <c r="B65" s="7" t="inlineStr">
        <is>
          <t>2023-07</t>
        </is>
      </c>
      <c r="C65" s="7" t="inlineStr">
        <is>
          <t>Healthcare</t>
        </is>
      </c>
      <c r="D65" s="8" t="n">
        <v>1584.05</v>
      </c>
      <c r="E65" s="8" t="n">
        <v>55195.81</v>
      </c>
      <c r="F65" s="8" t="n">
        <v>2000</v>
      </c>
      <c r="G65" s="7" t="inlineStr">
        <is>
          <t>Net Banking</t>
        </is>
      </c>
      <c r="H65" s="7" t="n">
        <v>2023</v>
      </c>
      <c r="I65" s="7" t="inlineStr">
        <is>
          <t>Q3</t>
        </is>
      </c>
      <c r="J65" s="8" t="n">
        <v>415.9500000000001</v>
      </c>
      <c r="K65" s="9" t="n">
        <v>97.13</v>
      </c>
    </row>
    <row r="66">
      <c r="A66" s="2" t="n">
        <v>45132</v>
      </c>
      <c r="B66" s="3" t="inlineStr">
        <is>
          <t>2023-07</t>
        </is>
      </c>
      <c r="C66" s="3" t="inlineStr">
        <is>
          <t>Entertainment</t>
        </is>
      </c>
      <c r="D66" s="4" t="n">
        <v>2603.21</v>
      </c>
      <c r="E66" s="4" t="n">
        <v>55195.81</v>
      </c>
      <c r="F66" s="4" t="n">
        <v>2000</v>
      </c>
      <c r="G66" s="3" t="inlineStr">
        <is>
          <t>Credit Card</t>
        </is>
      </c>
      <c r="H66" s="3" t="n">
        <v>2023</v>
      </c>
      <c r="I66" s="3" t="inlineStr">
        <is>
          <t>Q3</t>
        </is>
      </c>
      <c r="J66" s="4" t="n">
        <v>-603.21</v>
      </c>
      <c r="K66" s="5" t="n">
        <v>95.28</v>
      </c>
    </row>
    <row r="67">
      <c r="A67" s="6" t="n">
        <v>45138</v>
      </c>
      <c r="B67" s="7" t="inlineStr">
        <is>
          <t>2023-07</t>
        </is>
      </c>
      <c r="C67" s="7" t="inlineStr">
        <is>
          <t>Education</t>
        </is>
      </c>
      <c r="D67" s="8" t="n">
        <v>1645.8</v>
      </c>
      <c r="E67" s="8" t="n">
        <v>55195.81</v>
      </c>
      <c r="F67" s="8" t="n">
        <v>2500</v>
      </c>
      <c r="G67" s="7" t="inlineStr">
        <is>
          <t>UPI</t>
        </is>
      </c>
      <c r="H67" s="7" t="n">
        <v>2023</v>
      </c>
      <c r="I67" s="7" t="inlineStr">
        <is>
          <t>Q3</t>
        </is>
      </c>
      <c r="J67" s="8" t="n">
        <v>854.2</v>
      </c>
      <c r="K67" s="9" t="n">
        <v>97.02</v>
      </c>
    </row>
    <row r="68">
      <c r="A68" s="2" t="n">
        <v>45133</v>
      </c>
      <c r="B68" s="3" t="inlineStr">
        <is>
          <t>2023-07</t>
        </is>
      </c>
      <c r="C68" s="3" t="inlineStr">
        <is>
          <t>Shopping</t>
        </is>
      </c>
      <c r="D68" s="4" t="n">
        <v>5576.22</v>
      </c>
      <c r="E68" s="4" t="n">
        <v>55195.81</v>
      </c>
      <c r="F68" s="4" t="n">
        <v>3500</v>
      </c>
      <c r="G68" s="3" t="inlineStr">
        <is>
          <t>Net Banking</t>
        </is>
      </c>
      <c r="H68" s="3" t="n">
        <v>2023</v>
      </c>
      <c r="I68" s="3" t="inlineStr">
        <is>
          <t>Q3</t>
        </is>
      </c>
      <c r="J68" s="4" t="n">
        <v>-2076.22</v>
      </c>
      <c r="K68" s="5" t="n">
        <v>89.90000000000001</v>
      </c>
    </row>
    <row r="69">
      <c r="A69" s="6" t="n">
        <v>45127</v>
      </c>
      <c r="B69" s="7" t="inlineStr">
        <is>
          <t>2023-07</t>
        </is>
      </c>
      <c r="C69" s="7" t="inlineStr">
        <is>
          <t>Utilities</t>
        </is>
      </c>
      <c r="D69" s="8" t="n">
        <v>1830.74</v>
      </c>
      <c r="E69" s="8" t="n">
        <v>55195.81</v>
      </c>
      <c r="F69" s="8" t="n">
        <v>2000</v>
      </c>
      <c r="G69" s="7" t="inlineStr">
        <is>
          <t>Debit Card</t>
        </is>
      </c>
      <c r="H69" s="7" t="n">
        <v>2023</v>
      </c>
      <c r="I69" s="7" t="inlineStr">
        <is>
          <t>Q3</t>
        </is>
      </c>
      <c r="J69" s="8" t="n">
        <v>169.26</v>
      </c>
      <c r="K69" s="9" t="n">
        <v>96.68000000000001</v>
      </c>
    </row>
    <row r="70">
      <c r="A70" s="2" t="n">
        <v>45119</v>
      </c>
      <c r="B70" s="3" t="inlineStr">
        <is>
          <t>2023-07</t>
        </is>
      </c>
      <c r="C70" s="3" t="inlineStr">
        <is>
          <t>Savings</t>
        </is>
      </c>
      <c r="D70" s="4" t="n">
        <v>4740.41</v>
      </c>
      <c r="E70" s="4" t="n">
        <v>55195.81</v>
      </c>
      <c r="F70" s="4" t="n">
        <v>6000</v>
      </c>
      <c r="G70" s="3" t="inlineStr">
        <is>
          <t>Cash</t>
        </is>
      </c>
      <c r="H70" s="3" t="n">
        <v>2023</v>
      </c>
      <c r="I70" s="3" t="inlineStr">
        <is>
          <t>Q3</t>
        </is>
      </c>
      <c r="J70" s="4" t="n">
        <v>1259.59</v>
      </c>
      <c r="K70" s="5" t="n">
        <v>91.41</v>
      </c>
    </row>
    <row r="71">
      <c r="A71" s="6" t="n">
        <v>45134</v>
      </c>
      <c r="B71" s="7" t="inlineStr">
        <is>
          <t>2023-07</t>
        </is>
      </c>
      <c r="C71" s="7" t="inlineStr">
        <is>
          <t>Miscellaneous</t>
        </is>
      </c>
      <c r="D71" s="8" t="n">
        <v>1397.07</v>
      </c>
      <c r="E71" s="8" t="n">
        <v>55195.81</v>
      </c>
      <c r="F71" s="8" t="n">
        <v>1500</v>
      </c>
      <c r="G71" s="7" t="inlineStr">
        <is>
          <t>Credit Card</t>
        </is>
      </c>
      <c r="H71" s="7" t="n">
        <v>2023</v>
      </c>
      <c r="I71" s="7" t="inlineStr">
        <is>
          <t>Q3</t>
        </is>
      </c>
      <c r="J71" s="8" t="n">
        <v>102.9300000000001</v>
      </c>
      <c r="K71" s="9" t="n">
        <v>97.47</v>
      </c>
    </row>
    <row r="72">
      <c r="A72" s="2" t="n">
        <v>45158</v>
      </c>
      <c r="B72" s="3" t="inlineStr">
        <is>
          <t>2023-08</t>
        </is>
      </c>
      <c r="C72" s="3" t="inlineStr">
        <is>
          <t>Housing</t>
        </is>
      </c>
      <c r="D72" s="4" t="n">
        <v>12408.08</v>
      </c>
      <c r="E72" s="4" t="n">
        <v>54778.87</v>
      </c>
      <c r="F72" s="4" t="n">
        <v>12500</v>
      </c>
      <c r="G72" s="3" t="inlineStr">
        <is>
          <t>Other</t>
        </is>
      </c>
      <c r="H72" s="3" t="n">
        <v>2023</v>
      </c>
      <c r="I72" s="3" t="inlineStr">
        <is>
          <t>Q3</t>
        </is>
      </c>
      <c r="J72" s="4" t="n">
        <v>91.92000000000009</v>
      </c>
      <c r="K72" s="5" t="n">
        <v>77.34999999999999</v>
      </c>
    </row>
    <row r="73">
      <c r="A73" s="6" t="n">
        <v>45162</v>
      </c>
      <c r="B73" s="7" t="inlineStr">
        <is>
          <t>2023-08</t>
        </is>
      </c>
      <c r="C73" s="7" t="inlineStr">
        <is>
          <t>Food</t>
        </is>
      </c>
      <c r="D73" s="8" t="n">
        <v>7946.71</v>
      </c>
      <c r="E73" s="8" t="n">
        <v>54778.87</v>
      </c>
      <c r="F73" s="8" t="n">
        <v>6000</v>
      </c>
      <c r="G73" s="7" t="inlineStr">
        <is>
          <t>UPI</t>
        </is>
      </c>
      <c r="H73" s="7" t="n">
        <v>2023</v>
      </c>
      <c r="I73" s="7" t="inlineStr">
        <is>
          <t>Q3</t>
        </is>
      </c>
      <c r="J73" s="8" t="n">
        <v>-1946.71</v>
      </c>
      <c r="K73" s="9" t="n">
        <v>85.48999999999999</v>
      </c>
    </row>
    <row r="74">
      <c r="A74" s="2" t="n">
        <v>45168</v>
      </c>
      <c r="B74" s="3" t="inlineStr">
        <is>
          <t>2023-08</t>
        </is>
      </c>
      <c r="C74" s="3" t="inlineStr">
        <is>
          <t>Transport</t>
        </is>
      </c>
      <c r="D74" s="4" t="n">
        <v>3591.83</v>
      </c>
      <c r="E74" s="4" t="n">
        <v>54778.87</v>
      </c>
      <c r="F74" s="4" t="n">
        <v>3000</v>
      </c>
      <c r="G74" s="3" t="inlineStr">
        <is>
          <t>Credit Card</t>
        </is>
      </c>
      <c r="H74" s="3" t="n">
        <v>2023</v>
      </c>
      <c r="I74" s="3" t="inlineStr">
        <is>
          <t>Q3</t>
        </is>
      </c>
      <c r="J74" s="4" t="n">
        <v>-591.8299999999999</v>
      </c>
      <c r="K74" s="5" t="n">
        <v>93.44</v>
      </c>
    </row>
    <row r="75">
      <c r="A75" s="6" t="n">
        <v>45168</v>
      </c>
      <c r="B75" s="7" t="inlineStr">
        <is>
          <t>2023-08</t>
        </is>
      </c>
      <c r="C75" s="7" t="inlineStr">
        <is>
          <t>Healthcare</t>
        </is>
      </c>
      <c r="D75" s="8" t="n">
        <v>2682.15</v>
      </c>
      <c r="E75" s="8" t="n">
        <v>54778.87</v>
      </c>
      <c r="F75" s="8" t="n">
        <v>2000</v>
      </c>
      <c r="G75" s="7" t="inlineStr">
        <is>
          <t>Net Banking</t>
        </is>
      </c>
      <c r="H75" s="7" t="n">
        <v>2023</v>
      </c>
      <c r="I75" s="7" t="inlineStr">
        <is>
          <t>Q3</t>
        </is>
      </c>
      <c r="J75" s="8" t="n">
        <v>-682.1500000000001</v>
      </c>
      <c r="K75" s="9" t="n">
        <v>95.09999999999999</v>
      </c>
    </row>
    <row r="76">
      <c r="A76" s="2" t="n">
        <v>45141</v>
      </c>
      <c r="B76" s="3" t="inlineStr">
        <is>
          <t>2023-08</t>
        </is>
      </c>
      <c r="C76" s="3" t="inlineStr">
        <is>
          <t>Entertainment</t>
        </is>
      </c>
      <c r="D76" s="4" t="n">
        <v>2774.91</v>
      </c>
      <c r="E76" s="4" t="n">
        <v>54778.87</v>
      </c>
      <c r="F76" s="4" t="n">
        <v>2000</v>
      </c>
      <c r="G76" s="3" t="inlineStr">
        <is>
          <t>Cash</t>
        </is>
      </c>
      <c r="H76" s="3" t="n">
        <v>2023</v>
      </c>
      <c r="I76" s="3" t="inlineStr">
        <is>
          <t>Q3</t>
        </is>
      </c>
      <c r="J76" s="4" t="n">
        <v>-774.9099999999999</v>
      </c>
      <c r="K76" s="5" t="n">
        <v>94.93000000000001</v>
      </c>
    </row>
    <row r="77">
      <c r="A77" s="6" t="n">
        <v>45147</v>
      </c>
      <c r="B77" s="7" t="inlineStr">
        <is>
          <t>2023-08</t>
        </is>
      </c>
      <c r="C77" s="7" t="inlineStr">
        <is>
          <t>Education</t>
        </is>
      </c>
      <c r="D77" s="8" t="n">
        <v>1226.17</v>
      </c>
      <c r="E77" s="8" t="n">
        <v>54778.87</v>
      </c>
      <c r="F77" s="8" t="n">
        <v>2500</v>
      </c>
      <c r="G77" s="7" t="inlineStr">
        <is>
          <t>Credit Card</t>
        </is>
      </c>
      <c r="H77" s="7" t="n">
        <v>2023</v>
      </c>
      <c r="I77" s="7" t="inlineStr">
        <is>
          <t>Q3</t>
        </is>
      </c>
      <c r="J77" s="8" t="n">
        <v>1273.83</v>
      </c>
      <c r="K77" s="9" t="n">
        <v>97.76000000000001</v>
      </c>
    </row>
    <row r="78">
      <c r="A78" s="2" t="n">
        <v>45154</v>
      </c>
      <c r="B78" s="3" t="inlineStr">
        <is>
          <t>2023-08</t>
        </is>
      </c>
      <c r="C78" s="3" t="inlineStr">
        <is>
          <t>Shopping</t>
        </is>
      </c>
      <c r="D78" s="4" t="n">
        <v>4594.17</v>
      </c>
      <c r="E78" s="4" t="n">
        <v>54778.87</v>
      </c>
      <c r="F78" s="4" t="n">
        <v>3500</v>
      </c>
      <c r="G78" s="3" t="inlineStr">
        <is>
          <t>UPI</t>
        </is>
      </c>
      <c r="H78" s="3" t="n">
        <v>2023</v>
      </c>
      <c r="I78" s="3" t="inlineStr">
        <is>
          <t>Q3</t>
        </is>
      </c>
      <c r="J78" s="4" t="n">
        <v>-1094.17</v>
      </c>
      <c r="K78" s="5" t="n">
        <v>91.61</v>
      </c>
    </row>
    <row r="79">
      <c r="A79" s="6" t="n">
        <v>45146</v>
      </c>
      <c r="B79" s="7" t="inlineStr">
        <is>
          <t>2023-08</t>
        </is>
      </c>
      <c r="C79" s="7" t="inlineStr">
        <is>
          <t>Utilities</t>
        </is>
      </c>
      <c r="D79" s="8" t="n">
        <v>2085</v>
      </c>
      <c r="E79" s="8" t="n">
        <v>54778.87</v>
      </c>
      <c r="F79" s="8" t="n">
        <v>2000</v>
      </c>
      <c r="G79" s="7" t="inlineStr">
        <is>
          <t>UPI</t>
        </is>
      </c>
      <c r="H79" s="7" t="n">
        <v>2023</v>
      </c>
      <c r="I79" s="7" t="inlineStr">
        <is>
          <t>Q3</t>
        </is>
      </c>
      <c r="J79" s="8" t="n">
        <v>-85</v>
      </c>
      <c r="K79" s="9" t="n">
        <v>96.19</v>
      </c>
    </row>
    <row r="80">
      <c r="A80" s="2" t="n">
        <v>45150</v>
      </c>
      <c r="B80" s="3" t="inlineStr">
        <is>
          <t>2023-08</t>
        </is>
      </c>
      <c r="C80" s="3" t="inlineStr">
        <is>
          <t>Savings</t>
        </is>
      </c>
      <c r="D80" s="4" t="n">
        <v>5657.65</v>
      </c>
      <c r="E80" s="4" t="n">
        <v>54778.87</v>
      </c>
      <c r="F80" s="4" t="n">
        <v>6000</v>
      </c>
      <c r="G80" s="3" t="inlineStr">
        <is>
          <t>Debit Card</t>
        </is>
      </c>
      <c r="H80" s="3" t="n">
        <v>2023</v>
      </c>
      <c r="I80" s="3" t="inlineStr">
        <is>
          <t>Q3</t>
        </is>
      </c>
      <c r="J80" s="4" t="n">
        <v>342.3500000000004</v>
      </c>
      <c r="K80" s="5" t="n">
        <v>89.67</v>
      </c>
    </row>
    <row r="81">
      <c r="A81" s="6" t="n">
        <v>45160</v>
      </c>
      <c r="B81" s="7" t="inlineStr">
        <is>
          <t>2023-08</t>
        </is>
      </c>
      <c r="C81" s="7" t="inlineStr">
        <is>
          <t>Miscellaneous</t>
        </is>
      </c>
      <c r="D81" s="8" t="n">
        <v>2448.4</v>
      </c>
      <c r="E81" s="8" t="n">
        <v>54778.87</v>
      </c>
      <c r="F81" s="8" t="n">
        <v>1500</v>
      </c>
      <c r="G81" s="7" t="inlineStr">
        <is>
          <t>Credit Card</t>
        </is>
      </c>
      <c r="H81" s="7" t="n">
        <v>2023</v>
      </c>
      <c r="I81" s="7" t="inlineStr">
        <is>
          <t>Q3</t>
        </is>
      </c>
      <c r="J81" s="8" t="n">
        <v>-948.4</v>
      </c>
      <c r="K81" s="9" t="n">
        <v>95.53</v>
      </c>
    </row>
    <row r="82">
      <c r="A82" s="2" t="n">
        <v>45191</v>
      </c>
      <c r="B82" s="3" t="inlineStr">
        <is>
          <t>2023-09</t>
        </is>
      </c>
      <c r="C82" s="3" t="inlineStr">
        <is>
          <t>Housing</t>
        </is>
      </c>
      <c r="D82" s="4" t="n">
        <v>11961.45</v>
      </c>
      <c r="E82" s="4" t="n">
        <v>54743.99</v>
      </c>
      <c r="F82" s="4" t="n">
        <v>12500</v>
      </c>
      <c r="G82" s="3" t="inlineStr">
        <is>
          <t>Net Banking</t>
        </is>
      </c>
      <c r="H82" s="3" t="n">
        <v>2023</v>
      </c>
      <c r="I82" s="3" t="inlineStr">
        <is>
          <t>Q3</t>
        </is>
      </c>
      <c r="J82" s="4" t="n">
        <v>538.5499999999993</v>
      </c>
      <c r="K82" s="5" t="n">
        <v>78.15000000000001</v>
      </c>
    </row>
    <row r="83">
      <c r="A83" s="6" t="n">
        <v>45196</v>
      </c>
      <c r="B83" s="7" t="inlineStr">
        <is>
          <t>2023-09</t>
        </is>
      </c>
      <c r="C83" s="7" t="inlineStr">
        <is>
          <t>Food</t>
        </is>
      </c>
      <c r="D83" s="8" t="n">
        <v>6841.15</v>
      </c>
      <c r="E83" s="8" t="n">
        <v>54743.99</v>
      </c>
      <c r="F83" s="8" t="n">
        <v>6000</v>
      </c>
      <c r="G83" s="7" t="inlineStr">
        <is>
          <t>UPI</t>
        </is>
      </c>
      <c r="H83" s="7" t="n">
        <v>2023</v>
      </c>
      <c r="I83" s="7" t="inlineStr">
        <is>
          <t>Q3</t>
        </is>
      </c>
      <c r="J83" s="8" t="n">
        <v>-841.1499999999996</v>
      </c>
      <c r="K83" s="9" t="n">
        <v>87.5</v>
      </c>
    </row>
    <row r="84">
      <c r="A84" s="2" t="n">
        <v>45170</v>
      </c>
      <c r="B84" s="3" t="inlineStr">
        <is>
          <t>2023-09</t>
        </is>
      </c>
      <c r="C84" s="3" t="inlineStr">
        <is>
          <t>Transport</t>
        </is>
      </c>
      <c r="D84" s="4" t="n">
        <v>4840.65</v>
      </c>
      <c r="E84" s="4" t="n">
        <v>54743.99</v>
      </c>
      <c r="F84" s="4" t="n">
        <v>3000</v>
      </c>
      <c r="G84" s="3" t="inlineStr">
        <is>
          <t>Credit Card</t>
        </is>
      </c>
      <c r="H84" s="3" t="n">
        <v>2023</v>
      </c>
      <c r="I84" s="3" t="inlineStr">
        <is>
          <t>Q3</t>
        </is>
      </c>
      <c r="J84" s="4" t="n">
        <v>-1840.65</v>
      </c>
      <c r="K84" s="5" t="n">
        <v>91.16</v>
      </c>
    </row>
    <row r="85">
      <c r="A85" s="6" t="n">
        <v>45198</v>
      </c>
      <c r="B85" s="7" t="inlineStr">
        <is>
          <t>2023-09</t>
        </is>
      </c>
      <c r="C85" s="7" t="inlineStr">
        <is>
          <t>Healthcare</t>
        </is>
      </c>
      <c r="D85" s="8" t="n">
        <v>1875.01</v>
      </c>
      <c r="E85" s="8" t="n">
        <v>54743.99</v>
      </c>
      <c r="F85" s="8" t="n">
        <v>2000</v>
      </c>
      <c r="G85" s="7" t="inlineStr">
        <is>
          <t>Debit Card</t>
        </is>
      </c>
      <c r="H85" s="7" t="n">
        <v>2023</v>
      </c>
      <c r="I85" s="7" t="inlineStr">
        <is>
          <t>Q3</t>
        </is>
      </c>
      <c r="J85" s="8" t="n">
        <v>124.99</v>
      </c>
      <c r="K85" s="9" t="n">
        <v>96.56999999999999</v>
      </c>
    </row>
    <row r="86">
      <c r="A86" s="2" t="n">
        <v>45186</v>
      </c>
      <c r="B86" s="3" t="inlineStr">
        <is>
          <t>2023-09</t>
        </is>
      </c>
      <c r="C86" s="3" t="inlineStr">
        <is>
          <t>Entertainment</t>
        </is>
      </c>
      <c r="D86" s="4" t="n">
        <v>3535.89</v>
      </c>
      <c r="E86" s="4" t="n">
        <v>54743.99</v>
      </c>
      <c r="F86" s="4" t="n">
        <v>2000</v>
      </c>
      <c r="G86" s="3" t="inlineStr">
        <is>
          <t>Net Banking</t>
        </is>
      </c>
      <c r="H86" s="3" t="n">
        <v>2023</v>
      </c>
      <c r="I86" s="3" t="inlineStr">
        <is>
          <t>Q3</t>
        </is>
      </c>
      <c r="J86" s="4" t="n">
        <v>-1535.89</v>
      </c>
      <c r="K86" s="5" t="n">
        <v>93.54000000000001</v>
      </c>
    </row>
    <row r="87">
      <c r="A87" s="6" t="n">
        <v>45199</v>
      </c>
      <c r="B87" s="7" t="inlineStr">
        <is>
          <t>2023-09</t>
        </is>
      </c>
      <c r="C87" s="7" t="inlineStr">
        <is>
          <t>Education</t>
        </is>
      </c>
      <c r="D87" s="8" t="n">
        <v>2158.71</v>
      </c>
      <c r="E87" s="8" t="n">
        <v>54743.99</v>
      </c>
      <c r="F87" s="8" t="n">
        <v>2500</v>
      </c>
      <c r="G87" s="7" t="inlineStr">
        <is>
          <t>Net Banking</t>
        </is>
      </c>
      <c r="H87" s="7" t="n">
        <v>2023</v>
      </c>
      <c r="I87" s="7" t="inlineStr">
        <is>
          <t>Q3</t>
        </is>
      </c>
      <c r="J87" s="8" t="n">
        <v>341.29</v>
      </c>
      <c r="K87" s="9" t="n">
        <v>96.06</v>
      </c>
    </row>
    <row r="88">
      <c r="A88" s="2" t="n">
        <v>45178</v>
      </c>
      <c r="B88" s="3" t="inlineStr">
        <is>
          <t>2023-09</t>
        </is>
      </c>
      <c r="C88" s="3" t="inlineStr">
        <is>
          <t>Shopping</t>
        </is>
      </c>
      <c r="D88" s="4" t="n">
        <v>3731.84</v>
      </c>
      <c r="E88" s="4" t="n">
        <v>54743.99</v>
      </c>
      <c r="F88" s="4" t="n">
        <v>3500</v>
      </c>
      <c r="G88" s="3" t="inlineStr">
        <is>
          <t>Net Banking</t>
        </is>
      </c>
      <c r="H88" s="3" t="n">
        <v>2023</v>
      </c>
      <c r="I88" s="3" t="inlineStr">
        <is>
          <t>Q3</t>
        </is>
      </c>
      <c r="J88" s="4" t="n">
        <v>-231.8400000000001</v>
      </c>
      <c r="K88" s="5" t="n">
        <v>93.18000000000001</v>
      </c>
    </row>
    <row r="89">
      <c r="A89" s="6" t="n">
        <v>45198</v>
      </c>
      <c r="B89" s="7" t="inlineStr">
        <is>
          <t>2023-09</t>
        </is>
      </c>
      <c r="C89" s="7" t="inlineStr">
        <is>
          <t>Utilities</t>
        </is>
      </c>
      <c r="D89" s="8" t="n">
        <v>2414.2</v>
      </c>
      <c r="E89" s="8" t="n">
        <v>54743.99</v>
      </c>
      <c r="F89" s="8" t="n">
        <v>2000</v>
      </c>
      <c r="G89" s="7" t="inlineStr">
        <is>
          <t>Debit Card</t>
        </is>
      </c>
      <c r="H89" s="7" t="n">
        <v>2023</v>
      </c>
      <c r="I89" s="7" t="inlineStr">
        <is>
          <t>Q3</t>
        </is>
      </c>
      <c r="J89" s="8" t="n">
        <v>-414.1999999999998</v>
      </c>
      <c r="K89" s="9" t="n">
        <v>95.59</v>
      </c>
    </row>
    <row r="90">
      <c r="A90" s="2" t="n">
        <v>45190</v>
      </c>
      <c r="B90" s="3" t="inlineStr">
        <is>
          <t>2023-09</t>
        </is>
      </c>
      <c r="C90" s="3" t="inlineStr">
        <is>
          <t>Savings</t>
        </is>
      </c>
      <c r="D90" s="4" t="n">
        <v>4638.03</v>
      </c>
      <c r="E90" s="4" t="n">
        <v>54743.99</v>
      </c>
      <c r="F90" s="4" t="n">
        <v>6000</v>
      </c>
      <c r="G90" s="3" t="inlineStr">
        <is>
          <t>Credit Card</t>
        </is>
      </c>
      <c r="H90" s="3" t="n">
        <v>2023</v>
      </c>
      <c r="I90" s="3" t="inlineStr">
        <is>
          <t>Q3</t>
        </is>
      </c>
      <c r="J90" s="4" t="n">
        <v>1361.97</v>
      </c>
      <c r="K90" s="5" t="n">
        <v>91.53</v>
      </c>
    </row>
    <row r="91">
      <c r="A91" s="6" t="n">
        <v>45170</v>
      </c>
      <c r="B91" s="7" t="inlineStr">
        <is>
          <t>2023-09</t>
        </is>
      </c>
      <c r="C91" s="7" t="inlineStr">
        <is>
          <t>Miscellaneous</t>
        </is>
      </c>
      <c r="D91" s="8" t="n">
        <v>1888.52</v>
      </c>
      <c r="E91" s="8" t="n">
        <v>54743.99</v>
      </c>
      <c r="F91" s="8" t="n">
        <v>1500</v>
      </c>
      <c r="G91" s="7" t="inlineStr">
        <is>
          <t>Debit Card</t>
        </is>
      </c>
      <c r="H91" s="7" t="n">
        <v>2023</v>
      </c>
      <c r="I91" s="7" t="inlineStr">
        <is>
          <t>Q3</t>
        </is>
      </c>
      <c r="J91" s="8" t="n">
        <v>-388.52</v>
      </c>
      <c r="K91" s="9" t="n">
        <v>96.55</v>
      </c>
    </row>
    <row r="92">
      <c r="A92" s="2" t="n">
        <v>45225</v>
      </c>
      <c r="B92" s="3" t="inlineStr">
        <is>
          <t>2023-10</t>
        </is>
      </c>
      <c r="C92" s="3" t="inlineStr">
        <is>
          <t>Housing</t>
        </is>
      </c>
      <c r="D92" s="4" t="n">
        <v>12355.05</v>
      </c>
      <c r="E92" s="4" t="n">
        <v>54669.49</v>
      </c>
      <c r="F92" s="4" t="n">
        <v>12500</v>
      </c>
      <c r="G92" s="3" t="inlineStr">
        <is>
          <t>Net Banking</t>
        </is>
      </c>
      <c r="H92" s="3" t="n">
        <v>2023</v>
      </c>
      <c r="I92" s="3" t="inlineStr">
        <is>
          <t>Q4</t>
        </is>
      </c>
      <c r="J92" s="4" t="n">
        <v>144.9500000000007</v>
      </c>
      <c r="K92" s="5" t="n">
        <v>77.40000000000001</v>
      </c>
    </row>
    <row r="93">
      <c r="A93" s="6" t="n">
        <v>45213</v>
      </c>
      <c r="B93" s="7" t="inlineStr">
        <is>
          <t>2023-10</t>
        </is>
      </c>
      <c r="C93" s="7" t="inlineStr">
        <is>
          <t>Food</t>
        </is>
      </c>
      <c r="D93" s="8" t="n">
        <v>6592.48</v>
      </c>
      <c r="E93" s="8" t="n">
        <v>54669.49</v>
      </c>
      <c r="F93" s="8" t="n">
        <v>6000</v>
      </c>
      <c r="G93" s="7" t="inlineStr">
        <is>
          <t>Credit Card</t>
        </is>
      </c>
      <c r="H93" s="7" t="n">
        <v>2023</v>
      </c>
      <c r="I93" s="7" t="inlineStr">
        <is>
          <t>Q4</t>
        </is>
      </c>
      <c r="J93" s="8" t="n">
        <v>-592.4799999999996</v>
      </c>
      <c r="K93" s="9" t="n">
        <v>87.94</v>
      </c>
    </row>
    <row r="94">
      <c r="A94" s="2" t="n">
        <v>45201</v>
      </c>
      <c r="B94" s="3" t="inlineStr">
        <is>
          <t>2023-10</t>
        </is>
      </c>
      <c r="C94" s="3" t="inlineStr">
        <is>
          <t>Transport</t>
        </is>
      </c>
      <c r="D94" s="4" t="n">
        <v>3234.93</v>
      </c>
      <c r="E94" s="4" t="n">
        <v>54669.49</v>
      </c>
      <c r="F94" s="4" t="n">
        <v>3000</v>
      </c>
      <c r="G94" s="3" t="inlineStr">
        <is>
          <t>Debit Card</t>
        </is>
      </c>
      <c r="H94" s="3" t="n">
        <v>2023</v>
      </c>
      <c r="I94" s="3" t="inlineStr">
        <is>
          <t>Q4</t>
        </is>
      </c>
      <c r="J94" s="4" t="n">
        <v>-234.9299999999998</v>
      </c>
      <c r="K94" s="5" t="n">
        <v>94.08</v>
      </c>
    </row>
    <row r="95">
      <c r="A95" s="6" t="n">
        <v>45207</v>
      </c>
      <c r="B95" s="7" t="inlineStr">
        <is>
          <t>2023-10</t>
        </is>
      </c>
      <c r="C95" s="7" t="inlineStr">
        <is>
          <t>Healthcare</t>
        </is>
      </c>
      <c r="D95" s="8" t="n">
        <v>885.62</v>
      </c>
      <c r="E95" s="8" t="n">
        <v>54669.49</v>
      </c>
      <c r="F95" s="8" t="n">
        <v>2000</v>
      </c>
      <c r="G95" s="7" t="inlineStr">
        <is>
          <t>Cash</t>
        </is>
      </c>
      <c r="H95" s="7" t="n">
        <v>2023</v>
      </c>
      <c r="I95" s="7" t="inlineStr">
        <is>
          <t>Q4</t>
        </is>
      </c>
      <c r="J95" s="8" t="n">
        <v>1114.38</v>
      </c>
      <c r="K95" s="9" t="n">
        <v>98.38</v>
      </c>
    </row>
    <row r="96">
      <c r="A96" s="2" t="n">
        <v>45228</v>
      </c>
      <c r="B96" s="3" t="inlineStr">
        <is>
          <t>2023-10</t>
        </is>
      </c>
      <c r="C96" s="3" t="inlineStr">
        <is>
          <t>Entertainment</t>
        </is>
      </c>
      <c r="D96" s="4" t="n">
        <v>1828.69</v>
      </c>
      <c r="E96" s="4" t="n">
        <v>54669.49</v>
      </c>
      <c r="F96" s="4" t="n">
        <v>2000</v>
      </c>
      <c r="G96" s="3" t="inlineStr">
        <is>
          <t>Credit Card</t>
        </is>
      </c>
      <c r="H96" s="3" t="n">
        <v>2023</v>
      </c>
      <c r="I96" s="3" t="inlineStr">
        <is>
          <t>Q4</t>
        </is>
      </c>
      <c r="J96" s="4" t="n">
        <v>171.31</v>
      </c>
      <c r="K96" s="5" t="n">
        <v>96.66</v>
      </c>
    </row>
    <row r="97">
      <c r="A97" s="6" t="n">
        <v>45225</v>
      </c>
      <c r="B97" s="7" t="inlineStr">
        <is>
          <t>2023-10</t>
        </is>
      </c>
      <c r="C97" s="7" t="inlineStr">
        <is>
          <t>Education</t>
        </is>
      </c>
      <c r="D97" s="8" t="n">
        <v>2552.8</v>
      </c>
      <c r="E97" s="8" t="n">
        <v>54669.49</v>
      </c>
      <c r="F97" s="8" t="n">
        <v>2500</v>
      </c>
      <c r="G97" s="7" t="inlineStr">
        <is>
          <t>UPI</t>
        </is>
      </c>
      <c r="H97" s="7" t="n">
        <v>2023</v>
      </c>
      <c r="I97" s="7" t="inlineStr">
        <is>
          <t>Q4</t>
        </is>
      </c>
      <c r="J97" s="8" t="n">
        <v>-52.80000000000018</v>
      </c>
      <c r="K97" s="9" t="n">
        <v>95.33</v>
      </c>
    </row>
    <row r="98">
      <c r="A98" s="2" t="n">
        <v>45212</v>
      </c>
      <c r="B98" s="3" t="inlineStr">
        <is>
          <t>2023-10</t>
        </is>
      </c>
      <c r="C98" s="3" t="inlineStr">
        <is>
          <t>Shopping</t>
        </is>
      </c>
      <c r="D98" s="4" t="n">
        <v>4618.06</v>
      </c>
      <c r="E98" s="4" t="n">
        <v>54669.49</v>
      </c>
      <c r="F98" s="4" t="n">
        <v>3500</v>
      </c>
      <c r="G98" s="3" t="inlineStr">
        <is>
          <t>Credit Card</t>
        </is>
      </c>
      <c r="H98" s="3" t="n">
        <v>2023</v>
      </c>
      <c r="I98" s="3" t="inlineStr">
        <is>
          <t>Q4</t>
        </is>
      </c>
      <c r="J98" s="4" t="n">
        <v>-1118.06</v>
      </c>
      <c r="K98" s="5" t="n">
        <v>91.55</v>
      </c>
    </row>
    <row r="99">
      <c r="A99" s="6" t="n">
        <v>45207</v>
      </c>
      <c r="B99" s="7" t="inlineStr">
        <is>
          <t>2023-10</t>
        </is>
      </c>
      <c r="C99" s="7" t="inlineStr">
        <is>
          <t>Utilities</t>
        </is>
      </c>
      <c r="D99" s="8" t="n">
        <v>3355.82</v>
      </c>
      <c r="E99" s="8" t="n">
        <v>54669.49</v>
      </c>
      <c r="F99" s="8" t="n">
        <v>2000</v>
      </c>
      <c r="G99" s="7" t="inlineStr">
        <is>
          <t>UPI</t>
        </is>
      </c>
      <c r="H99" s="7" t="n">
        <v>2023</v>
      </c>
      <c r="I99" s="7" t="inlineStr">
        <is>
          <t>Q4</t>
        </is>
      </c>
      <c r="J99" s="8" t="n">
        <v>-1355.82</v>
      </c>
      <c r="K99" s="9" t="n">
        <v>93.86</v>
      </c>
    </row>
    <row r="100">
      <c r="A100" s="2" t="n">
        <v>45222</v>
      </c>
      <c r="B100" s="3" t="inlineStr">
        <is>
          <t>2023-10</t>
        </is>
      </c>
      <c r="C100" s="3" t="inlineStr">
        <is>
          <t>Savings</t>
        </is>
      </c>
      <c r="D100" s="4" t="n">
        <v>5185.84</v>
      </c>
      <c r="E100" s="4" t="n">
        <v>54669.49</v>
      </c>
      <c r="F100" s="4" t="n">
        <v>6000</v>
      </c>
      <c r="G100" s="3" t="inlineStr">
        <is>
          <t>Credit Card</t>
        </is>
      </c>
      <c r="H100" s="3" t="n">
        <v>2023</v>
      </c>
      <c r="I100" s="3" t="inlineStr">
        <is>
          <t>Q4</t>
        </is>
      </c>
      <c r="J100" s="4" t="n">
        <v>814.1599999999999</v>
      </c>
      <c r="K100" s="5" t="n">
        <v>90.51000000000001</v>
      </c>
    </row>
    <row r="101">
      <c r="A101" s="6" t="n">
        <v>45201</v>
      </c>
      <c r="B101" s="7" t="inlineStr">
        <is>
          <t>2023-10</t>
        </is>
      </c>
      <c r="C101" s="7" t="inlineStr">
        <is>
          <t>Miscellaneous</t>
        </is>
      </c>
      <c r="D101" s="8" t="n">
        <v>1588.09</v>
      </c>
      <c r="E101" s="8" t="n">
        <v>54669.49</v>
      </c>
      <c r="F101" s="8" t="n">
        <v>1500</v>
      </c>
      <c r="G101" s="7" t="inlineStr">
        <is>
          <t>Credit Card</t>
        </is>
      </c>
      <c r="H101" s="7" t="n">
        <v>2023</v>
      </c>
      <c r="I101" s="7" t="inlineStr">
        <is>
          <t>Q4</t>
        </is>
      </c>
      <c r="J101" s="8" t="n">
        <v>-88.08999999999992</v>
      </c>
      <c r="K101" s="9" t="n">
        <v>97.09999999999999</v>
      </c>
    </row>
    <row r="102">
      <c r="A102" s="2" t="n">
        <v>45260</v>
      </c>
      <c r="B102" s="3" t="inlineStr">
        <is>
          <t>2023-11</t>
        </is>
      </c>
      <c r="C102" s="3" t="inlineStr">
        <is>
          <t>Housing</t>
        </is>
      </c>
      <c r="D102" s="4" t="n">
        <v>11980.18</v>
      </c>
      <c r="E102" s="4" t="n">
        <v>55078.28</v>
      </c>
      <c r="F102" s="4" t="n">
        <v>12500</v>
      </c>
      <c r="G102" s="3" t="inlineStr">
        <is>
          <t>Credit Card</t>
        </is>
      </c>
      <c r="H102" s="3" t="n">
        <v>2023</v>
      </c>
      <c r="I102" s="3" t="inlineStr">
        <is>
          <t>Q4</t>
        </is>
      </c>
      <c r="J102" s="4" t="n">
        <v>519.8199999999997</v>
      </c>
      <c r="K102" s="5" t="n">
        <v>78.25</v>
      </c>
    </row>
    <row r="103">
      <c r="A103" s="6" t="n">
        <v>45256</v>
      </c>
      <c r="B103" s="7" t="inlineStr">
        <is>
          <t>2023-11</t>
        </is>
      </c>
      <c r="C103" s="7" t="inlineStr">
        <is>
          <t>Food</t>
        </is>
      </c>
      <c r="D103" s="8" t="n">
        <v>5965.34</v>
      </c>
      <c r="E103" s="8" t="n">
        <v>55078.28</v>
      </c>
      <c r="F103" s="8" t="n">
        <v>6000</v>
      </c>
      <c r="G103" s="7" t="inlineStr">
        <is>
          <t>UPI</t>
        </is>
      </c>
      <c r="H103" s="7" t="n">
        <v>2023</v>
      </c>
      <c r="I103" s="7" t="inlineStr">
        <is>
          <t>Q4</t>
        </is>
      </c>
      <c r="J103" s="8" t="n">
        <v>34.65999999999985</v>
      </c>
      <c r="K103" s="9" t="n">
        <v>89.17</v>
      </c>
    </row>
    <row r="104">
      <c r="A104" s="2" t="n">
        <v>45235</v>
      </c>
      <c r="B104" s="3" t="inlineStr">
        <is>
          <t>2023-11</t>
        </is>
      </c>
      <c r="C104" s="3" t="inlineStr">
        <is>
          <t>Transport</t>
        </is>
      </c>
      <c r="D104" s="4" t="n">
        <v>3412.65</v>
      </c>
      <c r="E104" s="4" t="n">
        <v>55078.28</v>
      </c>
      <c r="F104" s="4" t="n">
        <v>3000</v>
      </c>
      <c r="G104" s="3" t="inlineStr">
        <is>
          <t>Debit Card</t>
        </is>
      </c>
      <c r="H104" s="3" t="n">
        <v>2023</v>
      </c>
      <c r="I104" s="3" t="inlineStr">
        <is>
          <t>Q4</t>
        </is>
      </c>
      <c r="J104" s="4" t="n">
        <v>-412.6500000000001</v>
      </c>
      <c r="K104" s="5" t="n">
        <v>93.8</v>
      </c>
    </row>
    <row r="105">
      <c r="A105" s="6" t="n">
        <v>45251</v>
      </c>
      <c r="B105" s="7" t="inlineStr">
        <is>
          <t>2023-11</t>
        </is>
      </c>
      <c r="C105" s="7" t="inlineStr">
        <is>
          <t>Healthcare</t>
        </is>
      </c>
      <c r="D105" s="8" t="n">
        <v>295.75</v>
      </c>
      <c r="E105" s="8" t="n">
        <v>55078.28</v>
      </c>
      <c r="F105" s="8" t="n">
        <v>2000</v>
      </c>
      <c r="G105" s="7" t="inlineStr">
        <is>
          <t>Credit Card</t>
        </is>
      </c>
      <c r="H105" s="7" t="n">
        <v>2023</v>
      </c>
      <c r="I105" s="7" t="inlineStr">
        <is>
          <t>Q4</t>
        </is>
      </c>
      <c r="J105" s="8" t="n">
        <v>1704.25</v>
      </c>
      <c r="K105" s="9" t="n">
        <v>99.45999999999999</v>
      </c>
    </row>
    <row r="106">
      <c r="A106" s="2" t="n">
        <v>45236</v>
      </c>
      <c r="B106" s="3" t="inlineStr">
        <is>
          <t>2023-11</t>
        </is>
      </c>
      <c r="C106" s="3" t="inlineStr">
        <is>
          <t>Entertainment</t>
        </is>
      </c>
      <c r="D106" s="4" t="n">
        <v>2466.65</v>
      </c>
      <c r="E106" s="4" t="n">
        <v>55078.28</v>
      </c>
      <c r="F106" s="4" t="n">
        <v>2000</v>
      </c>
      <c r="G106" s="3" t="inlineStr">
        <is>
          <t>Credit Card</t>
        </is>
      </c>
      <c r="H106" s="3" t="n">
        <v>2023</v>
      </c>
      <c r="I106" s="3" t="inlineStr">
        <is>
          <t>Q4</t>
        </is>
      </c>
      <c r="J106" s="4" t="n">
        <v>-466.6500000000001</v>
      </c>
      <c r="K106" s="5" t="n">
        <v>95.52</v>
      </c>
    </row>
    <row r="107">
      <c r="A107" s="6" t="n">
        <v>45250</v>
      </c>
      <c r="B107" s="7" t="inlineStr">
        <is>
          <t>2023-11</t>
        </is>
      </c>
      <c r="C107" s="7" t="inlineStr">
        <is>
          <t>Education</t>
        </is>
      </c>
      <c r="D107" s="8" t="n">
        <v>2207.48</v>
      </c>
      <c r="E107" s="8" t="n">
        <v>55078.28</v>
      </c>
      <c r="F107" s="8" t="n">
        <v>2500</v>
      </c>
      <c r="G107" s="7" t="inlineStr">
        <is>
          <t>Debit Card</t>
        </is>
      </c>
      <c r="H107" s="7" t="n">
        <v>2023</v>
      </c>
      <c r="I107" s="7" t="inlineStr">
        <is>
          <t>Q4</t>
        </is>
      </c>
      <c r="J107" s="8" t="n">
        <v>292.52</v>
      </c>
      <c r="K107" s="9" t="n">
        <v>95.98999999999999</v>
      </c>
    </row>
    <row r="108">
      <c r="A108" s="2" t="n">
        <v>45246</v>
      </c>
      <c r="B108" s="3" t="inlineStr">
        <is>
          <t>2023-11</t>
        </is>
      </c>
      <c r="C108" s="3" t="inlineStr">
        <is>
          <t>Shopping</t>
        </is>
      </c>
      <c r="D108" s="4" t="n">
        <v>3081.39</v>
      </c>
      <c r="E108" s="4" t="n">
        <v>55078.28</v>
      </c>
      <c r="F108" s="4" t="n">
        <v>3500</v>
      </c>
      <c r="G108" s="3" t="inlineStr">
        <is>
          <t>Net Banking</t>
        </is>
      </c>
      <c r="H108" s="3" t="n">
        <v>2023</v>
      </c>
      <c r="I108" s="3" t="inlineStr">
        <is>
          <t>Q4</t>
        </is>
      </c>
      <c r="J108" s="4" t="n">
        <v>418.6100000000001</v>
      </c>
      <c r="K108" s="5" t="n">
        <v>94.41</v>
      </c>
    </row>
    <row r="109">
      <c r="A109" s="6" t="n">
        <v>45258</v>
      </c>
      <c r="B109" s="7" t="inlineStr">
        <is>
          <t>2023-11</t>
        </is>
      </c>
      <c r="C109" s="7" t="inlineStr">
        <is>
          <t>Utilities</t>
        </is>
      </c>
      <c r="D109" s="8" t="n">
        <v>2326.69</v>
      </c>
      <c r="E109" s="8" t="n">
        <v>55078.28</v>
      </c>
      <c r="F109" s="8" t="n">
        <v>2000</v>
      </c>
      <c r="G109" s="7" t="inlineStr">
        <is>
          <t>UPI</t>
        </is>
      </c>
      <c r="H109" s="7" t="n">
        <v>2023</v>
      </c>
      <c r="I109" s="7" t="inlineStr">
        <is>
          <t>Q4</t>
        </is>
      </c>
      <c r="J109" s="8" t="n">
        <v>-326.6900000000001</v>
      </c>
      <c r="K109" s="9" t="n">
        <v>95.78</v>
      </c>
    </row>
    <row r="110">
      <c r="A110" s="2" t="n">
        <v>45249</v>
      </c>
      <c r="B110" s="3" t="inlineStr">
        <is>
          <t>2023-11</t>
        </is>
      </c>
      <c r="C110" s="3" t="inlineStr">
        <is>
          <t>Savings</t>
        </is>
      </c>
      <c r="D110" s="4" t="n">
        <v>4914.24</v>
      </c>
      <c r="E110" s="4" t="n">
        <v>55078.28</v>
      </c>
      <c r="F110" s="4" t="n">
        <v>6000</v>
      </c>
      <c r="G110" s="3" t="inlineStr">
        <is>
          <t>Debit Card</t>
        </is>
      </c>
      <c r="H110" s="3" t="n">
        <v>2023</v>
      </c>
      <c r="I110" s="3" t="inlineStr">
        <is>
          <t>Q4</t>
        </is>
      </c>
      <c r="J110" s="4" t="n">
        <v>1085.76</v>
      </c>
      <c r="K110" s="5" t="n">
        <v>91.08</v>
      </c>
    </row>
    <row r="111">
      <c r="A111" s="6" t="n">
        <v>45253</v>
      </c>
      <c r="B111" s="7" t="inlineStr">
        <is>
          <t>2023-11</t>
        </is>
      </c>
      <c r="C111" s="7" t="inlineStr">
        <is>
          <t>Miscellaneous</t>
        </is>
      </c>
      <c r="D111" s="8" t="n">
        <v>1256.89</v>
      </c>
      <c r="E111" s="8" t="n">
        <v>55078.28</v>
      </c>
      <c r="F111" s="8" t="n">
        <v>1500</v>
      </c>
      <c r="G111" s="7" t="inlineStr">
        <is>
          <t>Credit Card</t>
        </is>
      </c>
      <c r="H111" s="7" t="n">
        <v>2023</v>
      </c>
      <c r="I111" s="7" t="inlineStr">
        <is>
          <t>Q4</t>
        </is>
      </c>
      <c r="J111" s="8" t="n">
        <v>243.1099999999999</v>
      </c>
      <c r="K111" s="9" t="n">
        <v>97.72</v>
      </c>
    </row>
    <row r="112">
      <c r="A112" s="2" t="n">
        <v>45272</v>
      </c>
      <c r="B112" s="3" t="inlineStr">
        <is>
          <t>2023-12</t>
        </is>
      </c>
      <c r="C112" s="3" t="inlineStr">
        <is>
          <t>Housing</t>
        </is>
      </c>
      <c r="D112" s="4" t="n">
        <v>11932.14</v>
      </c>
      <c r="E112" s="4" t="n">
        <v>54684.33</v>
      </c>
      <c r="F112" s="4" t="n">
        <v>12500</v>
      </c>
      <c r="G112" s="3" t="inlineStr">
        <is>
          <t>Debit Card</t>
        </is>
      </c>
      <c r="H112" s="3" t="n">
        <v>2023</v>
      </c>
      <c r="I112" s="3" t="inlineStr">
        <is>
          <t>Q4</t>
        </is>
      </c>
      <c r="J112" s="4" t="n">
        <v>567.8600000000006</v>
      </c>
      <c r="K112" s="5" t="n">
        <v>78.18000000000001</v>
      </c>
    </row>
    <row r="113">
      <c r="A113" s="6" t="n">
        <v>45286</v>
      </c>
      <c r="B113" s="7" t="inlineStr">
        <is>
          <t>2023-12</t>
        </is>
      </c>
      <c r="C113" s="7" t="inlineStr">
        <is>
          <t>Food</t>
        </is>
      </c>
      <c r="D113" s="8" t="n">
        <v>6681.49</v>
      </c>
      <c r="E113" s="8" t="n">
        <v>54684.33</v>
      </c>
      <c r="F113" s="8" t="n">
        <v>6000</v>
      </c>
      <c r="G113" s="7" t="inlineStr">
        <is>
          <t>Net Banking</t>
        </is>
      </c>
      <c r="H113" s="7" t="n">
        <v>2023</v>
      </c>
      <c r="I113" s="7" t="inlineStr">
        <is>
          <t>Q4</t>
        </is>
      </c>
      <c r="J113" s="8" t="n">
        <v>-681.4899999999998</v>
      </c>
      <c r="K113" s="9" t="n">
        <v>87.78</v>
      </c>
    </row>
    <row r="114">
      <c r="A114" s="2" t="n">
        <v>45282</v>
      </c>
      <c r="B114" s="3" t="inlineStr">
        <is>
          <t>2023-12</t>
        </is>
      </c>
      <c r="C114" s="3" t="inlineStr">
        <is>
          <t>Transport</t>
        </is>
      </c>
      <c r="D114" s="4" t="n">
        <v>2270.7</v>
      </c>
      <c r="E114" s="4" t="n">
        <v>54684.33</v>
      </c>
      <c r="F114" s="4" t="n">
        <v>3000</v>
      </c>
      <c r="G114" s="3" t="inlineStr">
        <is>
          <t>UPI</t>
        </is>
      </c>
      <c r="H114" s="3" t="n">
        <v>2023</v>
      </c>
      <c r="I114" s="3" t="inlineStr">
        <is>
          <t>Q4</t>
        </is>
      </c>
      <c r="J114" s="4" t="n">
        <v>729.3000000000002</v>
      </c>
      <c r="K114" s="5" t="n">
        <v>95.84999999999999</v>
      </c>
    </row>
    <row r="115">
      <c r="A115" s="6" t="n">
        <v>45268</v>
      </c>
      <c r="B115" s="7" t="inlineStr">
        <is>
          <t>2023-12</t>
        </is>
      </c>
      <c r="C115" s="7" t="inlineStr">
        <is>
          <t>Healthcare</t>
        </is>
      </c>
      <c r="D115" s="8" t="n">
        <v>1525.5</v>
      </c>
      <c r="E115" s="8" t="n">
        <v>54684.33</v>
      </c>
      <c r="F115" s="8" t="n">
        <v>2000</v>
      </c>
      <c r="G115" s="7" t="inlineStr">
        <is>
          <t>Net Banking</t>
        </is>
      </c>
      <c r="H115" s="7" t="n">
        <v>2023</v>
      </c>
      <c r="I115" s="7" t="inlineStr">
        <is>
          <t>Q4</t>
        </is>
      </c>
      <c r="J115" s="8" t="n">
        <v>474.5</v>
      </c>
      <c r="K115" s="9" t="n">
        <v>97.20999999999999</v>
      </c>
    </row>
    <row r="116">
      <c r="A116" s="2" t="n">
        <v>45291</v>
      </c>
      <c r="B116" s="3" t="inlineStr">
        <is>
          <t>2023-12</t>
        </is>
      </c>
      <c r="C116" s="3" t="inlineStr">
        <is>
          <t>Entertainment</t>
        </is>
      </c>
      <c r="D116" s="4" t="n">
        <v>3064.74</v>
      </c>
      <c r="E116" s="4" t="n">
        <v>54684.33</v>
      </c>
      <c r="F116" s="4" t="n">
        <v>2000</v>
      </c>
      <c r="G116" s="3" t="inlineStr">
        <is>
          <t>Debit Card</t>
        </is>
      </c>
      <c r="H116" s="3" t="n">
        <v>2023</v>
      </c>
      <c r="I116" s="3" t="inlineStr">
        <is>
          <t>Q4</t>
        </is>
      </c>
      <c r="J116" s="4" t="n">
        <v>-1064.74</v>
      </c>
      <c r="K116" s="5" t="n">
        <v>94.40000000000001</v>
      </c>
    </row>
    <row r="117">
      <c r="A117" s="6" t="n">
        <v>45289</v>
      </c>
      <c r="B117" s="7" t="inlineStr">
        <is>
          <t>2023-12</t>
        </is>
      </c>
      <c r="C117" s="7" t="inlineStr">
        <is>
          <t>Education</t>
        </is>
      </c>
      <c r="D117" s="8" t="n">
        <v>2897.92</v>
      </c>
      <c r="E117" s="8" t="n">
        <v>54684.33</v>
      </c>
      <c r="F117" s="8" t="n">
        <v>2500</v>
      </c>
      <c r="G117" s="7" t="inlineStr">
        <is>
          <t>Debit Card</t>
        </is>
      </c>
      <c r="H117" s="7" t="n">
        <v>2023</v>
      </c>
      <c r="I117" s="7" t="inlineStr">
        <is>
          <t>Q4</t>
        </is>
      </c>
      <c r="J117" s="8" t="n">
        <v>-397.9200000000001</v>
      </c>
      <c r="K117" s="9" t="n">
        <v>94.7</v>
      </c>
    </row>
    <row r="118">
      <c r="A118" s="2" t="n">
        <v>45265</v>
      </c>
      <c r="B118" s="3" t="inlineStr">
        <is>
          <t>2023-12</t>
        </is>
      </c>
      <c r="C118" s="3" t="inlineStr">
        <is>
          <t>Shopping</t>
        </is>
      </c>
      <c r="D118" s="4" t="n">
        <v>3723.11</v>
      </c>
      <c r="E118" s="4" t="n">
        <v>54684.33</v>
      </c>
      <c r="F118" s="4" t="n">
        <v>3500</v>
      </c>
      <c r="G118" s="3" t="inlineStr">
        <is>
          <t>Credit Card</t>
        </is>
      </c>
      <c r="H118" s="3" t="n">
        <v>2023</v>
      </c>
      <c r="I118" s="3" t="inlineStr">
        <is>
          <t>Q4</t>
        </is>
      </c>
      <c r="J118" s="4" t="n">
        <v>-223.1100000000001</v>
      </c>
      <c r="K118" s="5" t="n">
        <v>93.19</v>
      </c>
    </row>
    <row r="119">
      <c r="A119" s="6" t="n">
        <v>45289</v>
      </c>
      <c r="B119" s="7" t="inlineStr">
        <is>
          <t>2023-12</t>
        </is>
      </c>
      <c r="C119" s="7" t="inlineStr">
        <is>
          <t>Utilities</t>
        </is>
      </c>
      <c r="D119" s="8" t="n">
        <v>1816.02</v>
      </c>
      <c r="E119" s="8" t="n">
        <v>54684.33</v>
      </c>
      <c r="F119" s="8" t="n">
        <v>2000</v>
      </c>
      <c r="G119" s="7" t="inlineStr">
        <is>
          <t>Credit Card</t>
        </is>
      </c>
      <c r="H119" s="7" t="n">
        <v>2023</v>
      </c>
      <c r="I119" s="7" t="inlineStr">
        <is>
          <t>Q4</t>
        </is>
      </c>
      <c r="J119" s="8" t="n">
        <v>183.98</v>
      </c>
      <c r="K119" s="9" t="n">
        <v>96.68000000000001</v>
      </c>
    </row>
    <row r="120">
      <c r="A120" s="2" t="n">
        <v>45272</v>
      </c>
      <c r="B120" s="3" t="inlineStr">
        <is>
          <t>2023-12</t>
        </is>
      </c>
      <c r="C120" s="3" t="inlineStr">
        <is>
          <t>Savings</t>
        </is>
      </c>
      <c r="D120" s="4" t="n">
        <v>5355.06</v>
      </c>
      <c r="E120" s="4" t="n">
        <v>54684.33</v>
      </c>
      <c r="F120" s="4" t="n">
        <v>6000</v>
      </c>
      <c r="G120" s="3" t="inlineStr">
        <is>
          <t>Credit Card</t>
        </is>
      </c>
      <c r="H120" s="3" t="n">
        <v>2023</v>
      </c>
      <c r="I120" s="3" t="inlineStr">
        <is>
          <t>Q4</t>
        </is>
      </c>
      <c r="J120" s="4" t="n">
        <v>644.9399999999996</v>
      </c>
      <c r="K120" s="5" t="n">
        <v>90.20999999999999</v>
      </c>
    </row>
    <row r="121">
      <c r="A121" s="6" t="n">
        <v>45286</v>
      </c>
      <c r="B121" s="7" t="inlineStr">
        <is>
          <t>2023-12</t>
        </is>
      </c>
      <c r="C121" s="7" t="inlineStr">
        <is>
          <t>Miscellaneous</t>
        </is>
      </c>
      <c r="D121" s="8" t="n">
        <v>1887.32</v>
      </c>
      <c r="E121" s="8" t="n">
        <v>54684.33</v>
      </c>
      <c r="F121" s="8" t="n">
        <v>1500</v>
      </c>
      <c r="G121" s="7" t="inlineStr">
        <is>
          <t>Debit Card</t>
        </is>
      </c>
      <c r="H121" s="7" t="n">
        <v>2023</v>
      </c>
      <c r="I121" s="7" t="inlineStr">
        <is>
          <t>Q4</t>
        </is>
      </c>
      <c r="J121" s="8" t="n">
        <v>-387.32</v>
      </c>
      <c r="K121" s="9" t="n">
        <v>96.55</v>
      </c>
    </row>
    <row r="122">
      <c r="A122" s="2" t="n">
        <v>45314</v>
      </c>
      <c r="B122" s="3" t="inlineStr">
        <is>
          <t>2024-01</t>
        </is>
      </c>
      <c r="C122" s="3" t="inlineStr">
        <is>
          <t>Housing</t>
        </is>
      </c>
      <c r="D122" s="4" t="n">
        <v>11873.72</v>
      </c>
      <c r="E122" s="4" t="n">
        <v>54973.47</v>
      </c>
      <c r="F122" s="4" t="n">
        <v>12500</v>
      </c>
      <c r="G122" s="3" t="inlineStr">
        <is>
          <t>Other</t>
        </is>
      </c>
      <c r="H122" s="3" t="n">
        <v>2024</v>
      </c>
      <c r="I122" s="3" t="inlineStr">
        <is>
          <t>Q1</t>
        </is>
      </c>
      <c r="J122" s="4" t="n">
        <v>626.2800000000007</v>
      </c>
      <c r="K122" s="5" t="n">
        <v>78.40000000000001</v>
      </c>
    </row>
    <row r="123">
      <c r="A123" s="6" t="n">
        <v>45313</v>
      </c>
      <c r="B123" s="7" t="inlineStr">
        <is>
          <t>2024-01</t>
        </is>
      </c>
      <c r="C123" s="7" t="inlineStr">
        <is>
          <t>Food</t>
        </is>
      </c>
      <c r="D123" s="8" t="n">
        <v>5252.22</v>
      </c>
      <c r="E123" s="8" t="n">
        <v>54973.47</v>
      </c>
      <c r="F123" s="8" t="n">
        <v>6000</v>
      </c>
      <c r="G123" s="7" t="inlineStr">
        <is>
          <t>Cash</t>
        </is>
      </c>
      <c r="H123" s="7" t="n">
        <v>2024</v>
      </c>
      <c r="I123" s="7" t="inlineStr">
        <is>
          <t>Q1</t>
        </is>
      </c>
      <c r="J123" s="8" t="n">
        <v>747.7799999999997</v>
      </c>
      <c r="K123" s="9" t="n">
        <v>90.45</v>
      </c>
    </row>
    <row r="124">
      <c r="A124" s="2" t="n">
        <v>45317</v>
      </c>
      <c r="B124" s="3" t="inlineStr">
        <is>
          <t>2024-01</t>
        </is>
      </c>
      <c r="C124" s="3" t="inlineStr">
        <is>
          <t>Transport</t>
        </is>
      </c>
      <c r="D124" s="4" t="n">
        <v>3122.95</v>
      </c>
      <c r="E124" s="4" t="n">
        <v>54973.47</v>
      </c>
      <c r="F124" s="4" t="n">
        <v>3000</v>
      </c>
      <c r="G124" s="3" t="inlineStr">
        <is>
          <t>Net Banking</t>
        </is>
      </c>
      <c r="H124" s="3" t="n">
        <v>2024</v>
      </c>
      <c r="I124" s="3" t="inlineStr">
        <is>
          <t>Q1</t>
        </is>
      </c>
      <c r="J124" s="4" t="n">
        <v>-122.9499999999998</v>
      </c>
      <c r="K124" s="5" t="n">
        <v>94.31999999999999</v>
      </c>
    </row>
    <row r="125">
      <c r="A125" s="6" t="n">
        <v>45292</v>
      </c>
      <c r="B125" s="7" t="inlineStr">
        <is>
          <t>2024-01</t>
        </is>
      </c>
      <c r="C125" s="7" t="inlineStr">
        <is>
          <t>Healthcare</t>
        </is>
      </c>
      <c r="D125" s="8" t="n">
        <v>1427.47</v>
      </c>
      <c r="E125" s="8" t="n">
        <v>54973.47</v>
      </c>
      <c r="F125" s="8" t="n">
        <v>2000</v>
      </c>
      <c r="G125" s="7" t="inlineStr">
        <is>
          <t>Debit Card</t>
        </is>
      </c>
      <c r="H125" s="7" t="n">
        <v>2024</v>
      </c>
      <c r="I125" s="7" t="inlineStr">
        <is>
          <t>Q1</t>
        </is>
      </c>
      <c r="J125" s="8" t="n">
        <v>572.53</v>
      </c>
      <c r="K125" s="9" t="n">
        <v>97.40000000000001</v>
      </c>
    </row>
    <row r="126">
      <c r="A126" s="2" t="n">
        <v>45307</v>
      </c>
      <c r="B126" s="3" t="inlineStr">
        <is>
          <t>2024-01</t>
        </is>
      </c>
      <c r="C126" s="3" t="inlineStr">
        <is>
          <t>Entertainment</t>
        </is>
      </c>
      <c r="D126" s="4" t="n">
        <v>3180.84</v>
      </c>
      <c r="E126" s="4" t="n">
        <v>54973.47</v>
      </c>
      <c r="F126" s="4" t="n">
        <v>2000</v>
      </c>
      <c r="G126" s="3" t="inlineStr">
        <is>
          <t>Cash</t>
        </is>
      </c>
      <c r="H126" s="3" t="n">
        <v>2024</v>
      </c>
      <c r="I126" s="3" t="inlineStr">
        <is>
          <t>Q1</t>
        </is>
      </c>
      <c r="J126" s="4" t="n">
        <v>-1180.84</v>
      </c>
      <c r="K126" s="5" t="n">
        <v>94.20999999999999</v>
      </c>
    </row>
    <row r="127">
      <c r="A127" s="6" t="n">
        <v>45308</v>
      </c>
      <c r="B127" s="7" t="inlineStr">
        <is>
          <t>2024-01</t>
        </is>
      </c>
      <c r="C127" s="7" t="inlineStr">
        <is>
          <t>Education</t>
        </is>
      </c>
      <c r="D127" s="8" t="n">
        <v>2617.79</v>
      </c>
      <c r="E127" s="8" t="n">
        <v>54973.47</v>
      </c>
      <c r="F127" s="8" t="n">
        <v>2500</v>
      </c>
      <c r="G127" s="7" t="inlineStr">
        <is>
          <t>UPI</t>
        </is>
      </c>
      <c r="H127" s="7" t="n">
        <v>2024</v>
      </c>
      <c r="I127" s="7" t="inlineStr">
        <is>
          <t>Q1</t>
        </is>
      </c>
      <c r="J127" s="8" t="n">
        <v>-117.79</v>
      </c>
      <c r="K127" s="9" t="n">
        <v>95.23999999999999</v>
      </c>
    </row>
    <row r="128">
      <c r="A128" s="2" t="n">
        <v>45303</v>
      </c>
      <c r="B128" s="3" t="inlineStr">
        <is>
          <t>2024-01</t>
        </is>
      </c>
      <c r="C128" s="3" t="inlineStr">
        <is>
          <t>Shopping</t>
        </is>
      </c>
      <c r="D128" s="4" t="n">
        <v>5406.92</v>
      </c>
      <c r="E128" s="4" t="n">
        <v>54973.47</v>
      </c>
      <c r="F128" s="4" t="n">
        <v>3500</v>
      </c>
      <c r="G128" s="3" t="inlineStr">
        <is>
          <t>Debit Card</t>
        </is>
      </c>
      <c r="H128" s="3" t="n">
        <v>2024</v>
      </c>
      <c r="I128" s="3" t="inlineStr">
        <is>
          <t>Q1</t>
        </is>
      </c>
      <c r="J128" s="4" t="n">
        <v>-1906.92</v>
      </c>
      <c r="K128" s="5" t="n">
        <v>90.16</v>
      </c>
    </row>
    <row r="129">
      <c r="A129" s="6" t="n">
        <v>45319</v>
      </c>
      <c r="B129" s="7" t="inlineStr">
        <is>
          <t>2024-01</t>
        </is>
      </c>
      <c r="C129" s="7" t="inlineStr">
        <is>
          <t>Utilities</t>
        </is>
      </c>
      <c r="D129" s="8" t="n">
        <v>2359.42</v>
      </c>
      <c r="E129" s="8" t="n">
        <v>54973.47</v>
      </c>
      <c r="F129" s="8" t="n">
        <v>2000</v>
      </c>
      <c r="G129" s="7" t="inlineStr">
        <is>
          <t>Other</t>
        </is>
      </c>
      <c r="H129" s="7" t="n">
        <v>2024</v>
      </c>
      <c r="I129" s="7" t="inlineStr">
        <is>
          <t>Q1</t>
        </is>
      </c>
      <c r="J129" s="8" t="n">
        <v>-359.4200000000001</v>
      </c>
      <c r="K129" s="9" t="n">
        <v>95.70999999999999</v>
      </c>
    </row>
    <row r="130">
      <c r="A130" s="2" t="n">
        <v>45303</v>
      </c>
      <c r="B130" s="3" t="inlineStr">
        <is>
          <t>2024-01</t>
        </is>
      </c>
      <c r="C130" s="3" t="inlineStr">
        <is>
          <t>Savings</t>
        </is>
      </c>
      <c r="D130" s="4" t="n">
        <v>5384.97</v>
      </c>
      <c r="E130" s="4" t="n">
        <v>54973.47</v>
      </c>
      <c r="F130" s="4" t="n">
        <v>6000</v>
      </c>
      <c r="G130" s="3" t="inlineStr">
        <is>
          <t>Debit Card</t>
        </is>
      </c>
      <c r="H130" s="3" t="n">
        <v>2024</v>
      </c>
      <c r="I130" s="3" t="inlineStr">
        <is>
          <t>Q1</t>
        </is>
      </c>
      <c r="J130" s="4" t="n">
        <v>615.0299999999997</v>
      </c>
      <c r="K130" s="5" t="n">
        <v>90.2</v>
      </c>
    </row>
    <row r="131">
      <c r="A131" s="6" t="n">
        <v>45292</v>
      </c>
      <c r="B131" s="7" t="inlineStr">
        <is>
          <t>2024-01</t>
        </is>
      </c>
      <c r="C131" s="7" t="inlineStr">
        <is>
          <t>Miscellaneous</t>
        </is>
      </c>
      <c r="D131" s="8" t="n">
        <v>1733.53</v>
      </c>
      <c r="E131" s="8" t="n">
        <v>54973.47</v>
      </c>
      <c r="F131" s="8" t="n">
        <v>1500</v>
      </c>
      <c r="G131" s="7" t="inlineStr">
        <is>
          <t>Cash</t>
        </is>
      </c>
      <c r="H131" s="7" t="n">
        <v>2024</v>
      </c>
      <c r="I131" s="7" t="inlineStr">
        <is>
          <t>Q1</t>
        </is>
      </c>
      <c r="J131" s="8" t="n">
        <v>-233.53</v>
      </c>
      <c r="K131" s="9" t="n">
        <v>96.84999999999999</v>
      </c>
    </row>
    <row r="132">
      <c r="A132" s="2" t="n">
        <v>45336</v>
      </c>
      <c r="B132" s="3" t="inlineStr">
        <is>
          <t>2024-02</t>
        </is>
      </c>
      <c r="C132" s="3" t="inlineStr">
        <is>
          <t>Housing</t>
        </is>
      </c>
      <c r="D132" s="4" t="n">
        <v>11558.46</v>
      </c>
      <c r="E132" s="4" t="n">
        <v>54706.68</v>
      </c>
      <c r="F132" s="4" t="n">
        <v>12500</v>
      </c>
      <c r="G132" s="3" t="inlineStr">
        <is>
          <t>Credit Card</t>
        </is>
      </c>
      <c r="H132" s="3" t="n">
        <v>2024</v>
      </c>
      <c r="I132" s="3" t="inlineStr">
        <is>
          <t>Q1</t>
        </is>
      </c>
      <c r="J132" s="4" t="n">
        <v>941.5400000000008</v>
      </c>
      <c r="K132" s="5" t="n">
        <v>78.87</v>
      </c>
    </row>
    <row r="133">
      <c r="A133" s="6" t="n">
        <v>45341</v>
      </c>
      <c r="B133" s="7" t="inlineStr">
        <is>
          <t>2024-02</t>
        </is>
      </c>
      <c r="C133" s="7" t="inlineStr">
        <is>
          <t>Food</t>
        </is>
      </c>
      <c r="D133" s="8" t="n">
        <v>5800.62</v>
      </c>
      <c r="E133" s="8" t="n">
        <v>54706.68</v>
      </c>
      <c r="F133" s="8" t="n">
        <v>6000</v>
      </c>
      <c r="G133" s="7" t="inlineStr">
        <is>
          <t>Cash</t>
        </is>
      </c>
      <c r="H133" s="7" t="n">
        <v>2024</v>
      </c>
      <c r="I133" s="7" t="inlineStr">
        <is>
          <t>Q1</t>
        </is>
      </c>
      <c r="J133" s="8" t="n">
        <v>199.3800000000001</v>
      </c>
      <c r="K133" s="9" t="n">
        <v>89.40000000000001</v>
      </c>
    </row>
    <row r="134">
      <c r="A134" s="2" t="n">
        <v>45351</v>
      </c>
      <c r="B134" s="3" t="inlineStr">
        <is>
          <t>2024-02</t>
        </is>
      </c>
      <c r="C134" s="3" t="inlineStr">
        <is>
          <t>Transport</t>
        </is>
      </c>
      <c r="D134" s="4" t="n">
        <v>3938.13</v>
      </c>
      <c r="E134" s="4" t="n">
        <v>54706.68</v>
      </c>
      <c r="F134" s="4" t="n">
        <v>3000</v>
      </c>
      <c r="G134" s="3" t="inlineStr">
        <is>
          <t>UPI</t>
        </is>
      </c>
      <c r="H134" s="3" t="n">
        <v>2024</v>
      </c>
      <c r="I134" s="3" t="inlineStr">
        <is>
          <t>Q1</t>
        </is>
      </c>
      <c r="J134" s="4" t="n">
        <v>-938.13</v>
      </c>
      <c r="K134" s="5" t="n">
        <v>92.8</v>
      </c>
    </row>
    <row r="135">
      <c r="A135" s="6" t="n">
        <v>45348</v>
      </c>
      <c r="B135" s="7" t="inlineStr">
        <is>
          <t>2024-02</t>
        </is>
      </c>
      <c r="C135" s="7" t="inlineStr">
        <is>
          <t>Healthcare</t>
        </is>
      </c>
      <c r="D135" s="8" t="n">
        <v>767.02</v>
      </c>
      <c r="E135" s="8" t="n">
        <v>54706.68</v>
      </c>
      <c r="F135" s="8" t="n">
        <v>2000</v>
      </c>
      <c r="G135" s="7" t="inlineStr">
        <is>
          <t>Debit Card</t>
        </is>
      </c>
      <c r="H135" s="7" t="n">
        <v>2024</v>
      </c>
      <c r="I135" s="7" t="inlineStr">
        <is>
          <t>Q1</t>
        </is>
      </c>
      <c r="J135" s="8" t="n">
        <v>1232.98</v>
      </c>
      <c r="K135" s="9" t="n">
        <v>98.59999999999999</v>
      </c>
    </row>
    <row r="136">
      <c r="A136" s="2" t="n">
        <v>45348</v>
      </c>
      <c r="B136" s="3" t="inlineStr">
        <is>
          <t>2024-02</t>
        </is>
      </c>
      <c r="C136" s="3" t="inlineStr">
        <is>
          <t>Entertainment</t>
        </is>
      </c>
      <c r="D136" s="4" t="n">
        <v>2466.65</v>
      </c>
      <c r="E136" s="4" t="n">
        <v>54706.68</v>
      </c>
      <c r="F136" s="4" t="n">
        <v>2000</v>
      </c>
      <c r="G136" s="3" t="inlineStr">
        <is>
          <t>Cash</t>
        </is>
      </c>
      <c r="H136" s="3" t="n">
        <v>2024</v>
      </c>
      <c r="I136" s="3" t="inlineStr">
        <is>
          <t>Q1</t>
        </is>
      </c>
      <c r="J136" s="4" t="n">
        <v>-466.6500000000001</v>
      </c>
      <c r="K136" s="5" t="n">
        <v>95.48999999999999</v>
      </c>
    </row>
    <row r="137">
      <c r="A137" s="6" t="n">
        <v>45335</v>
      </c>
      <c r="B137" s="7" t="inlineStr">
        <is>
          <t>2024-02</t>
        </is>
      </c>
      <c r="C137" s="7" t="inlineStr">
        <is>
          <t>Education</t>
        </is>
      </c>
      <c r="D137" s="8" t="n">
        <v>1313.43</v>
      </c>
      <c r="E137" s="8" t="n">
        <v>54706.68</v>
      </c>
      <c r="F137" s="8" t="n">
        <v>2500</v>
      </c>
      <c r="G137" s="7" t="inlineStr">
        <is>
          <t>Net Banking</t>
        </is>
      </c>
      <c r="H137" s="7" t="n">
        <v>2024</v>
      </c>
      <c r="I137" s="7" t="inlineStr">
        <is>
          <t>Q1</t>
        </is>
      </c>
      <c r="J137" s="8" t="n">
        <v>1186.57</v>
      </c>
      <c r="K137" s="9" t="n">
        <v>97.59999999999999</v>
      </c>
    </row>
    <row r="138">
      <c r="A138" s="2" t="n">
        <v>45351</v>
      </c>
      <c r="B138" s="3" t="inlineStr">
        <is>
          <t>2024-02</t>
        </is>
      </c>
      <c r="C138" s="3" t="inlineStr">
        <is>
          <t>Shopping</t>
        </is>
      </c>
      <c r="D138" s="4" t="n">
        <v>3891.91</v>
      </c>
      <c r="E138" s="4" t="n">
        <v>54706.68</v>
      </c>
      <c r="F138" s="4" t="n">
        <v>3500</v>
      </c>
      <c r="G138" s="3" t="inlineStr">
        <is>
          <t>Credit Card</t>
        </is>
      </c>
      <c r="H138" s="3" t="n">
        <v>2024</v>
      </c>
      <c r="I138" s="3" t="inlineStr">
        <is>
          <t>Q1</t>
        </is>
      </c>
      <c r="J138" s="4" t="n">
        <v>-391.9099999999999</v>
      </c>
      <c r="K138" s="5" t="n">
        <v>92.89</v>
      </c>
    </row>
    <row r="139">
      <c r="A139" s="6" t="n">
        <v>45332</v>
      </c>
      <c r="B139" s="7" t="inlineStr">
        <is>
          <t>2024-02</t>
        </is>
      </c>
      <c r="C139" s="7" t="inlineStr">
        <is>
          <t>Utilities</t>
        </is>
      </c>
      <c r="D139" s="8" t="n">
        <v>2048.24</v>
      </c>
      <c r="E139" s="8" t="n">
        <v>54706.68</v>
      </c>
      <c r="F139" s="8" t="n">
        <v>2000</v>
      </c>
      <c r="G139" s="7" t="inlineStr">
        <is>
          <t>Debit Card</t>
        </is>
      </c>
      <c r="H139" s="7" t="n">
        <v>2024</v>
      </c>
      <c r="I139" s="7" t="inlineStr">
        <is>
          <t>Q1</t>
        </is>
      </c>
      <c r="J139" s="8" t="n">
        <v>-48.23999999999978</v>
      </c>
      <c r="K139" s="9" t="n">
        <v>96.26000000000001</v>
      </c>
    </row>
    <row r="140">
      <c r="A140" s="2" t="n">
        <v>45325</v>
      </c>
      <c r="B140" s="3" t="inlineStr">
        <is>
          <t>2024-02</t>
        </is>
      </c>
      <c r="C140" s="3" t="inlineStr">
        <is>
          <t>Savings</t>
        </is>
      </c>
      <c r="D140" s="4" t="n">
        <v>6496.34</v>
      </c>
      <c r="E140" s="4" t="n">
        <v>54706.68</v>
      </c>
      <c r="F140" s="4" t="n">
        <v>6000</v>
      </c>
      <c r="G140" s="3" t="inlineStr">
        <is>
          <t>Debit Card</t>
        </is>
      </c>
      <c r="H140" s="3" t="n">
        <v>2024</v>
      </c>
      <c r="I140" s="3" t="inlineStr">
        <is>
          <t>Q1</t>
        </is>
      </c>
      <c r="J140" s="4" t="n">
        <v>-496.3400000000001</v>
      </c>
      <c r="K140" s="5" t="n">
        <v>88.13</v>
      </c>
    </row>
    <row r="141">
      <c r="A141" s="6" t="n">
        <v>45340</v>
      </c>
      <c r="B141" s="7" t="inlineStr">
        <is>
          <t>2024-02</t>
        </is>
      </c>
      <c r="C141" s="7" t="inlineStr">
        <is>
          <t>Miscellaneous</t>
        </is>
      </c>
      <c r="D141" s="8" t="n">
        <v>2344.01</v>
      </c>
      <c r="E141" s="8" t="n">
        <v>54706.68</v>
      </c>
      <c r="F141" s="8" t="n">
        <v>1500</v>
      </c>
      <c r="G141" s="7" t="inlineStr">
        <is>
          <t>Credit Card</t>
        </is>
      </c>
      <c r="H141" s="7" t="n">
        <v>2024</v>
      </c>
      <c r="I141" s="7" t="inlineStr">
        <is>
          <t>Q1</t>
        </is>
      </c>
      <c r="J141" s="8" t="n">
        <v>-844.0100000000002</v>
      </c>
      <c r="K141" s="9" t="n">
        <v>95.72</v>
      </c>
    </row>
    <row r="142">
      <c r="A142" s="2" t="n">
        <v>45363</v>
      </c>
      <c r="B142" s="3" t="inlineStr">
        <is>
          <t>2024-03</t>
        </is>
      </c>
      <c r="C142" s="3" t="inlineStr">
        <is>
          <t>Housing</t>
        </is>
      </c>
      <c r="D142" s="4" t="n">
        <v>12090.25</v>
      </c>
      <c r="E142" s="4" t="n">
        <v>55080.54</v>
      </c>
      <c r="F142" s="4" t="n">
        <v>12500</v>
      </c>
      <c r="G142" s="3" t="inlineStr">
        <is>
          <t>Debit Card</t>
        </is>
      </c>
      <c r="H142" s="3" t="n">
        <v>2024</v>
      </c>
      <c r="I142" s="3" t="inlineStr">
        <is>
          <t>Q1</t>
        </is>
      </c>
      <c r="J142" s="4" t="n">
        <v>409.75</v>
      </c>
      <c r="K142" s="5" t="n">
        <v>78.05</v>
      </c>
    </row>
    <row r="143">
      <c r="A143" s="6" t="n">
        <v>45364</v>
      </c>
      <c r="B143" s="7" t="inlineStr">
        <is>
          <t>2024-03</t>
        </is>
      </c>
      <c r="C143" s="7" t="inlineStr">
        <is>
          <t>Food</t>
        </is>
      </c>
      <c r="D143" s="8" t="n">
        <v>7571.04</v>
      </c>
      <c r="E143" s="8" t="n">
        <v>55080.54</v>
      </c>
      <c r="F143" s="8" t="n">
        <v>6000</v>
      </c>
      <c r="G143" s="7" t="inlineStr">
        <is>
          <t>UPI</t>
        </is>
      </c>
      <c r="H143" s="7" t="n">
        <v>2024</v>
      </c>
      <c r="I143" s="7" t="inlineStr">
        <is>
          <t>Q1</t>
        </is>
      </c>
      <c r="J143" s="8" t="n">
        <v>-1571.04</v>
      </c>
      <c r="K143" s="9" t="n">
        <v>86.25</v>
      </c>
    </row>
    <row r="144">
      <c r="A144" s="2" t="n">
        <v>45368</v>
      </c>
      <c r="B144" s="3" t="inlineStr">
        <is>
          <t>2024-03</t>
        </is>
      </c>
      <c r="C144" s="3" t="inlineStr">
        <is>
          <t>Transport</t>
        </is>
      </c>
      <c r="D144" s="4" t="n">
        <v>2823.89</v>
      </c>
      <c r="E144" s="4" t="n">
        <v>55080.54</v>
      </c>
      <c r="F144" s="4" t="n">
        <v>3000</v>
      </c>
      <c r="G144" s="3" t="inlineStr">
        <is>
          <t>Debit Card</t>
        </is>
      </c>
      <c r="H144" s="3" t="n">
        <v>2024</v>
      </c>
      <c r="I144" s="3" t="inlineStr">
        <is>
          <t>Q1</t>
        </is>
      </c>
      <c r="J144" s="4" t="n">
        <v>176.1100000000001</v>
      </c>
      <c r="K144" s="5" t="n">
        <v>94.87</v>
      </c>
    </row>
    <row r="145">
      <c r="A145" s="6" t="n">
        <v>45367</v>
      </c>
      <c r="B145" s="7" t="inlineStr">
        <is>
          <t>2024-03</t>
        </is>
      </c>
      <c r="C145" s="7" t="inlineStr">
        <is>
          <t>Healthcare</t>
        </is>
      </c>
      <c r="D145" s="8" t="n">
        <v>726.39</v>
      </c>
      <c r="E145" s="8" t="n">
        <v>55080.54</v>
      </c>
      <c r="F145" s="8" t="n">
        <v>2000</v>
      </c>
      <c r="G145" s="7" t="inlineStr">
        <is>
          <t>Debit Card</t>
        </is>
      </c>
      <c r="H145" s="7" t="n">
        <v>2024</v>
      </c>
      <c r="I145" s="7" t="inlineStr">
        <is>
          <t>Q1</t>
        </is>
      </c>
      <c r="J145" s="8" t="n">
        <v>1273.61</v>
      </c>
      <c r="K145" s="9" t="n">
        <v>98.68000000000001</v>
      </c>
    </row>
    <row r="146">
      <c r="A146" s="2" t="n">
        <v>45355</v>
      </c>
      <c r="B146" s="3" t="inlineStr">
        <is>
          <t>2024-03</t>
        </is>
      </c>
      <c r="C146" s="3" t="inlineStr">
        <is>
          <t>Entertainment</t>
        </is>
      </c>
      <c r="D146" s="4" t="n">
        <v>2087.24</v>
      </c>
      <c r="E146" s="4" t="n">
        <v>55080.54</v>
      </c>
      <c r="F146" s="4" t="n">
        <v>2000</v>
      </c>
      <c r="G146" s="3" t="inlineStr">
        <is>
          <t>Credit Card</t>
        </is>
      </c>
      <c r="H146" s="3" t="n">
        <v>2024</v>
      </c>
      <c r="I146" s="3" t="inlineStr">
        <is>
          <t>Q1</t>
        </is>
      </c>
      <c r="J146" s="4" t="n">
        <v>-87.23999999999978</v>
      </c>
      <c r="K146" s="5" t="n">
        <v>96.20999999999999</v>
      </c>
    </row>
    <row r="147">
      <c r="A147" s="6" t="n">
        <v>45360</v>
      </c>
      <c r="B147" s="7" t="inlineStr">
        <is>
          <t>2024-03</t>
        </is>
      </c>
      <c r="C147" s="7" t="inlineStr">
        <is>
          <t>Education</t>
        </is>
      </c>
      <c r="D147" s="8" t="n">
        <v>1880.68</v>
      </c>
      <c r="E147" s="8" t="n">
        <v>55080.54</v>
      </c>
      <c r="F147" s="8" t="n">
        <v>2500</v>
      </c>
      <c r="G147" s="7" t="inlineStr">
        <is>
          <t>UPI</t>
        </is>
      </c>
      <c r="H147" s="7" t="n">
        <v>2024</v>
      </c>
      <c r="I147" s="7" t="inlineStr">
        <is>
          <t>Q1</t>
        </is>
      </c>
      <c r="J147" s="8" t="n">
        <v>619.3199999999999</v>
      </c>
      <c r="K147" s="9" t="n">
        <v>96.59</v>
      </c>
    </row>
    <row r="148">
      <c r="A148" s="2" t="n">
        <v>45382</v>
      </c>
      <c r="B148" s="3" t="inlineStr">
        <is>
          <t>2024-03</t>
        </is>
      </c>
      <c r="C148" s="3" t="inlineStr">
        <is>
          <t>Shopping</t>
        </is>
      </c>
      <c r="D148" s="4" t="n">
        <v>4470.45</v>
      </c>
      <c r="E148" s="4" t="n">
        <v>55080.54</v>
      </c>
      <c r="F148" s="4" t="n">
        <v>3500</v>
      </c>
      <c r="G148" s="3" t="inlineStr">
        <is>
          <t>Net Banking</t>
        </is>
      </c>
      <c r="H148" s="3" t="n">
        <v>2024</v>
      </c>
      <c r="I148" s="3" t="inlineStr">
        <is>
          <t>Q1</t>
        </is>
      </c>
      <c r="J148" s="4" t="n">
        <v>-970.4499999999998</v>
      </c>
      <c r="K148" s="5" t="n">
        <v>91.88</v>
      </c>
    </row>
    <row r="149">
      <c r="A149" s="6" t="n">
        <v>45370</v>
      </c>
      <c r="B149" s="7" t="inlineStr">
        <is>
          <t>2024-03</t>
        </is>
      </c>
      <c r="C149" s="7" t="inlineStr">
        <is>
          <t>Utilities</t>
        </is>
      </c>
      <c r="D149" s="8" t="n">
        <v>2162.64</v>
      </c>
      <c r="E149" s="8" t="n">
        <v>55080.54</v>
      </c>
      <c r="F149" s="8" t="n">
        <v>2000</v>
      </c>
      <c r="G149" s="7" t="inlineStr">
        <is>
          <t>Debit Card</t>
        </is>
      </c>
      <c r="H149" s="7" t="n">
        <v>2024</v>
      </c>
      <c r="I149" s="7" t="inlineStr">
        <is>
          <t>Q1</t>
        </is>
      </c>
      <c r="J149" s="8" t="n">
        <v>-162.6399999999999</v>
      </c>
      <c r="K149" s="9" t="n">
        <v>96.06999999999999</v>
      </c>
    </row>
    <row r="150">
      <c r="A150" s="2" t="n">
        <v>45372</v>
      </c>
      <c r="B150" s="3" t="inlineStr">
        <is>
          <t>2024-03</t>
        </is>
      </c>
      <c r="C150" s="3" t="inlineStr">
        <is>
          <t>Savings</t>
        </is>
      </c>
      <c r="D150" s="4" t="n">
        <v>5898.83</v>
      </c>
      <c r="E150" s="4" t="n">
        <v>55080.54</v>
      </c>
      <c r="F150" s="4" t="n">
        <v>6000</v>
      </c>
      <c r="G150" s="3" t="inlineStr">
        <is>
          <t>UPI</t>
        </is>
      </c>
      <c r="H150" s="3" t="n">
        <v>2024</v>
      </c>
      <c r="I150" s="3" t="inlineStr">
        <is>
          <t>Q1</t>
        </is>
      </c>
      <c r="J150" s="4" t="n">
        <v>101.1700000000001</v>
      </c>
      <c r="K150" s="5" t="n">
        <v>89.29000000000001</v>
      </c>
    </row>
    <row r="151">
      <c r="A151" s="6" t="n">
        <v>45374</v>
      </c>
      <c r="B151" s="7" t="inlineStr">
        <is>
          <t>2024-03</t>
        </is>
      </c>
      <c r="C151" s="7" t="inlineStr">
        <is>
          <t>Miscellaneous</t>
        </is>
      </c>
      <c r="D151" s="8" t="n">
        <v>2571.6</v>
      </c>
      <c r="E151" s="8" t="n">
        <v>55080.54</v>
      </c>
      <c r="F151" s="8" t="n">
        <v>1500</v>
      </c>
      <c r="G151" s="7" t="inlineStr">
        <is>
          <t>UPI</t>
        </is>
      </c>
      <c r="H151" s="7" t="n">
        <v>2024</v>
      </c>
      <c r="I151" s="7" t="inlineStr">
        <is>
          <t>Q1</t>
        </is>
      </c>
      <c r="J151" s="8" t="n">
        <v>-1071.6</v>
      </c>
      <c r="K151" s="9" t="n">
        <v>95.33</v>
      </c>
    </row>
    <row r="152">
      <c r="A152" s="2" t="n">
        <v>45393</v>
      </c>
      <c r="B152" s="3" t="inlineStr">
        <is>
          <t>2024-04</t>
        </is>
      </c>
      <c r="C152" s="3" t="inlineStr">
        <is>
          <t>Housing</t>
        </is>
      </c>
      <c r="D152" s="4" t="n">
        <v>12162.26</v>
      </c>
      <c r="E152" s="4" t="n">
        <v>54613.46</v>
      </c>
      <c r="F152" s="4" t="n">
        <v>12500</v>
      </c>
      <c r="G152" s="3" t="inlineStr">
        <is>
          <t>Credit Card</t>
        </is>
      </c>
      <c r="H152" s="3" t="n">
        <v>2024</v>
      </c>
      <c r="I152" s="3" t="inlineStr">
        <is>
          <t>Q2</t>
        </is>
      </c>
      <c r="J152" s="4" t="n">
        <v>337.7399999999998</v>
      </c>
      <c r="K152" s="5" t="n">
        <v>77.73</v>
      </c>
    </row>
    <row r="153">
      <c r="A153" s="6" t="n">
        <v>45394</v>
      </c>
      <c r="B153" s="7" t="inlineStr">
        <is>
          <t>2024-04</t>
        </is>
      </c>
      <c r="C153" s="7" t="inlineStr">
        <is>
          <t>Food</t>
        </is>
      </c>
      <c r="D153" s="8" t="n">
        <v>8175.29</v>
      </c>
      <c r="E153" s="8" t="n">
        <v>54613.46</v>
      </c>
      <c r="F153" s="8" t="n">
        <v>6000</v>
      </c>
      <c r="G153" s="7" t="inlineStr">
        <is>
          <t>Cash</t>
        </is>
      </c>
      <c r="H153" s="7" t="n">
        <v>2024</v>
      </c>
      <c r="I153" s="7" t="inlineStr">
        <is>
          <t>Q2</t>
        </is>
      </c>
      <c r="J153" s="8" t="n">
        <v>-2175.29</v>
      </c>
      <c r="K153" s="9" t="n">
        <v>85.03</v>
      </c>
    </row>
    <row r="154">
      <c r="A154" s="2" t="n">
        <v>45388</v>
      </c>
      <c r="B154" s="3" t="inlineStr">
        <is>
          <t>2024-04</t>
        </is>
      </c>
      <c r="C154" s="3" t="inlineStr">
        <is>
          <t>Transport</t>
        </is>
      </c>
      <c r="D154" s="4" t="n">
        <v>3254.04</v>
      </c>
      <c r="E154" s="4" t="n">
        <v>54613.46</v>
      </c>
      <c r="F154" s="4" t="n">
        <v>3000</v>
      </c>
      <c r="G154" s="3" t="inlineStr">
        <is>
          <t>Credit Card</t>
        </is>
      </c>
      <c r="H154" s="3" t="n">
        <v>2024</v>
      </c>
      <c r="I154" s="3" t="inlineStr">
        <is>
          <t>Q2</t>
        </is>
      </c>
      <c r="J154" s="4" t="n">
        <v>-254.04</v>
      </c>
      <c r="K154" s="5" t="n">
        <v>94.04000000000001</v>
      </c>
    </row>
    <row r="155">
      <c r="A155" s="6" t="n">
        <v>45395</v>
      </c>
      <c r="B155" s="7" t="inlineStr">
        <is>
          <t>2024-04</t>
        </is>
      </c>
      <c r="C155" s="7" t="inlineStr">
        <is>
          <t>Healthcare</t>
        </is>
      </c>
      <c r="D155" s="8" t="n">
        <v>1866.18</v>
      </c>
      <c r="E155" s="8" t="n">
        <v>54613.46</v>
      </c>
      <c r="F155" s="8" t="n">
        <v>2000</v>
      </c>
      <c r="G155" s="7" t="inlineStr">
        <is>
          <t>Credit Card</t>
        </is>
      </c>
      <c r="H155" s="7" t="n">
        <v>2024</v>
      </c>
      <c r="I155" s="7" t="inlineStr">
        <is>
          <t>Q2</t>
        </is>
      </c>
      <c r="J155" s="8" t="n">
        <v>133.8199999999999</v>
      </c>
      <c r="K155" s="9" t="n">
        <v>96.58</v>
      </c>
    </row>
    <row r="156">
      <c r="A156" s="2" t="n">
        <v>45384</v>
      </c>
      <c r="B156" s="3" t="inlineStr">
        <is>
          <t>2024-04</t>
        </is>
      </c>
      <c r="C156" s="3" t="inlineStr">
        <is>
          <t>Entertainment</t>
        </is>
      </c>
      <c r="D156" s="4" t="n">
        <v>3120.34</v>
      </c>
      <c r="E156" s="4" t="n">
        <v>54613.46</v>
      </c>
      <c r="F156" s="4" t="n">
        <v>2000</v>
      </c>
      <c r="G156" s="3" t="inlineStr">
        <is>
          <t>Credit Card</t>
        </is>
      </c>
      <c r="H156" s="3" t="n">
        <v>2024</v>
      </c>
      <c r="I156" s="3" t="inlineStr">
        <is>
          <t>Q2</t>
        </is>
      </c>
      <c r="J156" s="4" t="n">
        <v>-1120.34</v>
      </c>
      <c r="K156" s="5" t="n">
        <v>94.29000000000001</v>
      </c>
    </row>
    <row r="157">
      <c r="A157" s="6" t="n">
        <v>45387</v>
      </c>
      <c r="B157" s="7" t="inlineStr">
        <is>
          <t>2024-04</t>
        </is>
      </c>
      <c r="C157" s="7" t="inlineStr">
        <is>
          <t>Education</t>
        </is>
      </c>
      <c r="D157" s="8" t="n">
        <v>1906.52</v>
      </c>
      <c r="E157" s="8" t="n">
        <v>54613.46</v>
      </c>
      <c r="F157" s="8" t="n">
        <v>2500</v>
      </c>
      <c r="G157" s="7" t="inlineStr">
        <is>
          <t>Credit Card</t>
        </is>
      </c>
      <c r="H157" s="7" t="n">
        <v>2024</v>
      </c>
      <c r="I157" s="7" t="inlineStr">
        <is>
          <t>Q2</t>
        </is>
      </c>
      <c r="J157" s="8" t="n">
        <v>593.48</v>
      </c>
      <c r="K157" s="9" t="n">
        <v>96.51000000000001</v>
      </c>
    </row>
    <row r="158">
      <c r="A158" s="2" t="n">
        <v>45404</v>
      </c>
      <c r="B158" s="3" t="inlineStr">
        <is>
          <t>2024-04</t>
        </is>
      </c>
      <c r="C158" s="3" t="inlineStr">
        <is>
          <t>Shopping</t>
        </is>
      </c>
      <c r="D158" s="4" t="n">
        <v>5272.83</v>
      </c>
      <c r="E158" s="4" t="n">
        <v>54613.46</v>
      </c>
      <c r="F158" s="4" t="n">
        <v>3500</v>
      </c>
      <c r="G158" s="3" t="inlineStr">
        <is>
          <t>UPI</t>
        </is>
      </c>
      <c r="H158" s="3" t="n">
        <v>2024</v>
      </c>
      <c r="I158" s="3" t="inlineStr">
        <is>
          <t>Q2</t>
        </is>
      </c>
      <c r="J158" s="4" t="n">
        <v>-1772.83</v>
      </c>
      <c r="K158" s="5" t="n">
        <v>90.34999999999999</v>
      </c>
    </row>
    <row r="159">
      <c r="A159" s="6" t="n">
        <v>45389</v>
      </c>
      <c r="B159" s="7" t="inlineStr">
        <is>
          <t>2024-04</t>
        </is>
      </c>
      <c r="C159" s="7" t="inlineStr">
        <is>
          <t>Utilities</t>
        </is>
      </c>
      <c r="D159" s="8" t="n">
        <v>2271.25</v>
      </c>
      <c r="E159" s="8" t="n">
        <v>54613.46</v>
      </c>
      <c r="F159" s="8" t="n">
        <v>2000</v>
      </c>
      <c r="G159" s="7" t="inlineStr">
        <is>
          <t>Net Banking</t>
        </is>
      </c>
      <c r="H159" s="7" t="n">
        <v>2024</v>
      </c>
      <c r="I159" s="7" t="inlineStr">
        <is>
          <t>Q2</t>
        </is>
      </c>
      <c r="J159" s="8" t="n">
        <v>-271.25</v>
      </c>
      <c r="K159" s="9" t="n">
        <v>95.84</v>
      </c>
    </row>
    <row r="160">
      <c r="A160" s="2" t="n">
        <v>45401</v>
      </c>
      <c r="B160" s="3" t="inlineStr">
        <is>
          <t>2024-04</t>
        </is>
      </c>
      <c r="C160" s="3" t="inlineStr">
        <is>
          <t>Savings</t>
        </is>
      </c>
      <c r="D160" s="4" t="n">
        <v>4468.62</v>
      </c>
      <c r="E160" s="4" t="n">
        <v>54613.46</v>
      </c>
      <c r="F160" s="4" t="n">
        <v>6000</v>
      </c>
      <c r="G160" s="3" t="inlineStr">
        <is>
          <t>UPI</t>
        </is>
      </c>
      <c r="H160" s="3" t="n">
        <v>2024</v>
      </c>
      <c r="I160" s="3" t="inlineStr">
        <is>
          <t>Q2</t>
        </is>
      </c>
      <c r="J160" s="4" t="n">
        <v>1531.38</v>
      </c>
      <c r="K160" s="5" t="n">
        <v>91.81999999999999</v>
      </c>
    </row>
    <row r="161">
      <c r="A161" s="6" t="n">
        <v>45404</v>
      </c>
      <c r="B161" s="7" t="inlineStr">
        <is>
          <t>2024-04</t>
        </is>
      </c>
      <c r="C161" s="7" t="inlineStr">
        <is>
          <t>Miscellaneous</t>
        </is>
      </c>
      <c r="D161" s="8" t="n">
        <v>2180.06</v>
      </c>
      <c r="E161" s="8" t="n">
        <v>54613.46</v>
      </c>
      <c r="F161" s="8" t="n">
        <v>1500</v>
      </c>
      <c r="G161" s="7" t="inlineStr">
        <is>
          <t>UPI</t>
        </is>
      </c>
      <c r="H161" s="7" t="n">
        <v>2024</v>
      </c>
      <c r="I161" s="7" t="inlineStr">
        <is>
          <t>Q2</t>
        </is>
      </c>
      <c r="J161" s="8" t="n">
        <v>-680.0599999999999</v>
      </c>
      <c r="K161" s="9" t="n">
        <v>96.01000000000001</v>
      </c>
    </row>
    <row r="162">
      <c r="A162" s="2" t="n">
        <v>45425</v>
      </c>
      <c r="B162" s="3" t="inlineStr">
        <is>
          <t>2024-05</t>
        </is>
      </c>
      <c r="C162" s="3" t="inlineStr">
        <is>
          <t>Housing</t>
        </is>
      </c>
      <c r="D162" s="4" t="n">
        <v>11637.83</v>
      </c>
      <c r="E162" s="4" t="n">
        <v>54748.72</v>
      </c>
      <c r="F162" s="4" t="n">
        <v>12500</v>
      </c>
      <c r="G162" s="3" t="inlineStr">
        <is>
          <t>Credit Card</t>
        </is>
      </c>
      <c r="H162" s="3" t="n">
        <v>2024</v>
      </c>
      <c r="I162" s="3" t="inlineStr">
        <is>
          <t>Q2</t>
        </is>
      </c>
      <c r="J162" s="4" t="n">
        <v>862.1700000000001</v>
      </c>
      <c r="K162" s="5" t="n">
        <v>78.73999999999999</v>
      </c>
    </row>
    <row r="163">
      <c r="A163" s="6" t="n">
        <v>45440</v>
      </c>
      <c r="B163" s="7" t="inlineStr">
        <is>
          <t>2024-05</t>
        </is>
      </c>
      <c r="C163" s="7" t="inlineStr">
        <is>
          <t>Food</t>
        </is>
      </c>
      <c r="D163" s="8" t="n">
        <v>4624.22</v>
      </c>
      <c r="E163" s="8" t="n">
        <v>54748.72</v>
      </c>
      <c r="F163" s="8" t="n">
        <v>6000</v>
      </c>
      <c r="G163" s="7" t="inlineStr">
        <is>
          <t>Cash</t>
        </is>
      </c>
      <c r="H163" s="7" t="n">
        <v>2024</v>
      </c>
      <c r="I163" s="7" t="inlineStr">
        <is>
          <t>Q2</t>
        </is>
      </c>
      <c r="J163" s="8" t="n">
        <v>1375.78</v>
      </c>
      <c r="K163" s="9" t="n">
        <v>91.55</v>
      </c>
    </row>
    <row r="164">
      <c r="A164" s="2" t="n">
        <v>45443</v>
      </c>
      <c r="B164" s="3" t="inlineStr">
        <is>
          <t>2024-05</t>
        </is>
      </c>
      <c r="C164" s="3" t="inlineStr">
        <is>
          <t>Transport</t>
        </is>
      </c>
      <c r="D164" s="4" t="n">
        <v>3711.17</v>
      </c>
      <c r="E164" s="4" t="n">
        <v>54748.72</v>
      </c>
      <c r="F164" s="4" t="n">
        <v>3000</v>
      </c>
      <c r="G164" s="3" t="inlineStr">
        <is>
          <t>Cash</t>
        </is>
      </c>
      <c r="H164" s="3" t="n">
        <v>2024</v>
      </c>
      <c r="I164" s="3" t="inlineStr">
        <is>
          <t>Q2</t>
        </is>
      </c>
      <c r="J164" s="4" t="n">
        <v>-711.1700000000001</v>
      </c>
      <c r="K164" s="5" t="n">
        <v>93.22</v>
      </c>
    </row>
    <row r="165">
      <c r="A165" s="6" t="n">
        <v>45413</v>
      </c>
      <c r="B165" s="7" t="inlineStr">
        <is>
          <t>2024-05</t>
        </is>
      </c>
      <c r="C165" s="7" t="inlineStr">
        <is>
          <t>Healthcare</t>
        </is>
      </c>
      <c r="D165" s="8" t="n">
        <v>2414.67</v>
      </c>
      <c r="E165" s="8" t="n">
        <v>54748.72</v>
      </c>
      <c r="F165" s="8" t="n">
        <v>2000</v>
      </c>
      <c r="G165" s="7" t="inlineStr">
        <is>
          <t>Cash</t>
        </is>
      </c>
      <c r="H165" s="7" t="n">
        <v>2024</v>
      </c>
      <c r="I165" s="7" t="inlineStr">
        <is>
          <t>Q2</t>
        </is>
      </c>
      <c r="J165" s="8" t="n">
        <v>-414.6700000000001</v>
      </c>
      <c r="K165" s="9" t="n">
        <v>95.59</v>
      </c>
    </row>
    <row r="166">
      <c r="A166" s="2" t="n">
        <v>45440</v>
      </c>
      <c r="B166" s="3" t="inlineStr">
        <is>
          <t>2024-05</t>
        </is>
      </c>
      <c r="C166" s="3" t="inlineStr">
        <is>
          <t>Entertainment</t>
        </is>
      </c>
      <c r="D166" s="4" t="n">
        <v>2122.18</v>
      </c>
      <c r="E166" s="4" t="n">
        <v>54748.72</v>
      </c>
      <c r="F166" s="4" t="n">
        <v>2000</v>
      </c>
      <c r="G166" s="3" t="inlineStr">
        <is>
          <t>Credit Card</t>
        </is>
      </c>
      <c r="H166" s="3" t="n">
        <v>2024</v>
      </c>
      <c r="I166" s="3" t="inlineStr">
        <is>
          <t>Q2</t>
        </is>
      </c>
      <c r="J166" s="4" t="n">
        <v>-122.1799999999998</v>
      </c>
      <c r="K166" s="5" t="n">
        <v>96.12</v>
      </c>
    </row>
    <row r="167">
      <c r="A167" s="6" t="n">
        <v>45436</v>
      </c>
      <c r="B167" s="7" t="inlineStr">
        <is>
          <t>2024-05</t>
        </is>
      </c>
      <c r="C167" s="7" t="inlineStr">
        <is>
          <t>Education</t>
        </is>
      </c>
      <c r="D167" s="8" t="n">
        <v>1432.02</v>
      </c>
      <c r="E167" s="8" t="n">
        <v>54748.72</v>
      </c>
      <c r="F167" s="8" t="n">
        <v>2500</v>
      </c>
      <c r="G167" s="7" t="inlineStr">
        <is>
          <t>Debit Card</t>
        </is>
      </c>
      <c r="H167" s="7" t="n">
        <v>2024</v>
      </c>
      <c r="I167" s="7" t="inlineStr">
        <is>
          <t>Q2</t>
        </is>
      </c>
      <c r="J167" s="8" t="n">
        <v>1067.98</v>
      </c>
      <c r="K167" s="9" t="n">
        <v>97.38</v>
      </c>
    </row>
    <row r="168">
      <c r="A168" s="2" t="n">
        <v>45425</v>
      </c>
      <c r="B168" s="3" t="inlineStr">
        <is>
          <t>2024-05</t>
        </is>
      </c>
      <c r="C168" s="3" t="inlineStr">
        <is>
          <t>Shopping</t>
        </is>
      </c>
      <c r="D168" s="4" t="n">
        <v>5630.58</v>
      </c>
      <c r="E168" s="4" t="n">
        <v>54748.72</v>
      </c>
      <c r="F168" s="4" t="n">
        <v>3500</v>
      </c>
      <c r="G168" s="3" t="inlineStr">
        <is>
          <t>Net Banking</t>
        </is>
      </c>
      <c r="H168" s="3" t="n">
        <v>2024</v>
      </c>
      <c r="I168" s="3" t="inlineStr">
        <is>
          <t>Q2</t>
        </is>
      </c>
      <c r="J168" s="4" t="n">
        <v>-2130.58</v>
      </c>
      <c r="K168" s="5" t="n">
        <v>89.72</v>
      </c>
    </row>
    <row r="169">
      <c r="A169" s="6" t="n">
        <v>45441</v>
      </c>
      <c r="B169" s="7" t="inlineStr">
        <is>
          <t>2024-05</t>
        </is>
      </c>
      <c r="C169" s="7" t="inlineStr">
        <is>
          <t>Utilities</t>
        </is>
      </c>
      <c r="D169" s="8" t="n">
        <v>2114.1</v>
      </c>
      <c r="E169" s="8" t="n">
        <v>54748.72</v>
      </c>
      <c r="F169" s="8" t="n">
        <v>2000</v>
      </c>
      <c r="G169" s="7" t="inlineStr">
        <is>
          <t>Debit Card</t>
        </is>
      </c>
      <c r="H169" s="7" t="n">
        <v>2024</v>
      </c>
      <c r="I169" s="7" t="inlineStr">
        <is>
          <t>Q2</t>
        </is>
      </c>
      <c r="J169" s="8" t="n">
        <v>-114.0999999999999</v>
      </c>
      <c r="K169" s="9" t="n">
        <v>96.14</v>
      </c>
    </row>
    <row r="170">
      <c r="A170" s="2" t="n">
        <v>45431</v>
      </c>
      <c r="B170" s="3" t="inlineStr">
        <is>
          <t>2024-05</t>
        </is>
      </c>
      <c r="C170" s="3" t="inlineStr">
        <is>
          <t>Savings</t>
        </is>
      </c>
      <c r="D170" s="4" t="n">
        <v>4865.54</v>
      </c>
      <c r="E170" s="4" t="n">
        <v>54748.72</v>
      </c>
      <c r="F170" s="4" t="n">
        <v>6000</v>
      </c>
      <c r="G170" s="3" t="inlineStr">
        <is>
          <t>Net Banking</t>
        </is>
      </c>
      <c r="H170" s="3" t="n">
        <v>2024</v>
      </c>
      <c r="I170" s="3" t="inlineStr">
        <is>
          <t>Q2</t>
        </is>
      </c>
      <c r="J170" s="4" t="n">
        <v>1134.46</v>
      </c>
      <c r="K170" s="5" t="n">
        <v>91.11</v>
      </c>
    </row>
    <row r="171">
      <c r="A171" s="6" t="n">
        <v>45430</v>
      </c>
      <c r="B171" s="7" t="inlineStr">
        <is>
          <t>2024-05</t>
        </is>
      </c>
      <c r="C171" s="7" t="inlineStr">
        <is>
          <t>Miscellaneous</t>
        </is>
      </c>
      <c r="D171" s="8" t="n">
        <v>1642.59</v>
      </c>
      <c r="E171" s="8" t="n">
        <v>54748.72</v>
      </c>
      <c r="F171" s="8" t="n">
        <v>1500</v>
      </c>
      <c r="G171" s="7" t="inlineStr">
        <is>
          <t>Credit Card</t>
        </is>
      </c>
      <c r="H171" s="7" t="n">
        <v>2024</v>
      </c>
      <c r="I171" s="7" t="inlineStr">
        <is>
          <t>Q2</t>
        </is>
      </c>
      <c r="J171" s="8" t="n">
        <v>-142.5899999999999</v>
      </c>
      <c r="K171" s="9" t="n">
        <v>97</v>
      </c>
    </row>
    <row r="172">
      <c r="A172" s="2" t="n">
        <v>45466</v>
      </c>
      <c r="B172" s="3" t="inlineStr">
        <is>
          <t>2024-06</t>
        </is>
      </c>
      <c r="C172" s="3" t="inlineStr">
        <is>
          <t>Housing</t>
        </is>
      </c>
      <c r="D172" s="4" t="n">
        <v>11551.38</v>
      </c>
      <c r="E172" s="4" t="n">
        <v>54716.81</v>
      </c>
      <c r="F172" s="4" t="n">
        <v>12500</v>
      </c>
      <c r="G172" s="3" t="inlineStr">
        <is>
          <t>Credit Card</t>
        </is>
      </c>
      <c r="H172" s="3" t="n">
        <v>2024</v>
      </c>
      <c r="I172" s="3" t="inlineStr">
        <is>
          <t>Q2</t>
        </is>
      </c>
      <c r="J172" s="4" t="n">
        <v>948.6200000000008</v>
      </c>
      <c r="K172" s="5" t="n">
        <v>78.89</v>
      </c>
    </row>
    <row r="173">
      <c r="A173" s="6" t="n">
        <v>45455</v>
      </c>
      <c r="B173" s="7" t="inlineStr">
        <is>
          <t>2024-06</t>
        </is>
      </c>
      <c r="C173" s="7" t="inlineStr">
        <is>
          <t>Food</t>
        </is>
      </c>
      <c r="D173" s="8" t="n">
        <v>9000.83</v>
      </c>
      <c r="E173" s="8" t="n">
        <v>54716.81</v>
      </c>
      <c r="F173" s="8" t="n">
        <v>6000</v>
      </c>
      <c r="G173" s="7" t="inlineStr">
        <is>
          <t>Net Banking</t>
        </is>
      </c>
      <c r="H173" s="7" t="n">
        <v>2024</v>
      </c>
      <c r="I173" s="7" t="inlineStr">
        <is>
          <t>Q2</t>
        </is>
      </c>
      <c r="J173" s="8" t="n">
        <v>-3000.83</v>
      </c>
      <c r="K173" s="9" t="n">
        <v>83.55</v>
      </c>
    </row>
    <row r="174">
      <c r="A174" s="2" t="n">
        <v>45467</v>
      </c>
      <c r="B174" s="3" t="inlineStr">
        <is>
          <t>2024-06</t>
        </is>
      </c>
      <c r="C174" s="3" t="inlineStr">
        <is>
          <t>Transport</t>
        </is>
      </c>
      <c r="D174" s="4" t="n">
        <v>3114.03</v>
      </c>
      <c r="E174" s="4" t="n">
        <v>54716.81</v>
      </c>
      <c r="F174" s="4" t="n">
        <v>3000</v>
      </c>
      <c r="G174" s="3" t="inlineStr">
        <is>
          <t>Cash</t>
        </is>
      </c>
      <c r="H174" s="3" t="n">
        <v>2024</v>
      </c>
      <c r="I174" s="3" t="inlineStr">
        <is>
          <t>Q2</t>
        </is>
      </c>
      <c r="J174" s="4" t="n">
        <v>-114.0300000000002</v>
      </c>
      <c r="K174" s="5" t="n">
        <v>94.31</v>
      </c>
    </row>
    <row r="175">
      <c r="A175" s="6" t="n">
        <v>45451</v>
      </c>
      <c r="B175" s="7" t="inlineStr">
        <is>
          <t>2024-06</t>
        </is>
      </c>
      <c r="C175" s="7" t="inlineStr">
        <is>
          <t>Healthcare</t>
        </is>
      </c>
      <c r="D175" s="8" t="n">
        <v>1319.52</v>
      </c>
      <c r="E175" s="8" t="n">
        <v>54716.81</v>
      </c>
      <c r="F175" s="8" t="n">
        <v>2000</v>
      </c>
      <c r="G175" s="7" t="inlineStr">
        <is>
          <t>Credit Card</t>
        </is>
      </c>
      <c r="H175" s="7" t="n">
        <v>2024</v>
      </c>
      <c r="I175" s="7" t="inlineStr">
        <is>
          <t>Q2</t>
        </is>
      </c>
      <c r="J175" s="8" t="n">
        <v>680.48</v>
      </c>
      <c r="K175" s="9" t="n">
        <v>97.59</v>
      </c>
    </row>
    <row r="176">
      <c r="A176" s="2" t="n">
        <v>45471</v>
      </c>
      <c r="B176" s="3" t="inlineStr">
        <is>
          <t>2024-06</t>
        </is>
      </c>
      <c r="C176" s="3" t="inlineStr">
        <is>
          <t>Entertainment</t>
        </is>
      </c>
      <c r="D176" s="4" t="n">
        <v>2028.61</v>
      </c>
      <c r="E176" s="4" t="n">
        <v>54716.81</v>
      </c>
      <c r="F176" s="4" t="n">
        <v>2000</v>
      </c>
      <c r="G176" s="3" t="inlineStr">
        <is>
          <t>Cash</t>
        </is>
      </c>
      <c r="H176" s="3" t="n">
        <v>2024</v>
      </c>
      <c r="I176" s="3" t="inlineStr">
        <is>
          <t>Q2</t>
        </is>
      </c>
      <c r="J176" s="4" t="n">
        <v>-28.6099999999999</v>
      </c>
      <c r="K176" s="5" t="n">
        <v>96.29000000000001</v>
      </c>
    </row>
    <row r="177">
      <c r="A177" s="6" t="n">
        <v>45471</v>
      </c>
      <c r="B177" s="7" t="inlineStr">
        <is>
          <t>2024-06</t>
        </is>
      </c>
      <c r="C177" s="7" t="inlineStr">
        <is>
          <t>Education</t>
        </is>
      </c>
      <c r="D177" s="8" t="n">
        <v>2635.66</v>
      </c>
      <c r="E177" s="8" t="n">
        <v>54716.81</v>
      </c>
      <c r="F177" s="8" t="n">
        <v>2500</v>
      </c>
      <c r="G177" s="7" t="inlineStr">
        <is>
          <t>Debit Card</t>
        </is>
      </c>
      <c r="H177" s="7" t="n">
        <v>2024</v>
      </c>
      <c r="I177" s="7" t="inlineStr">
        <is>
          <t>Q2</t>
        </is>
      </c>
      <c r="J177" s="8" t="n">
        <v>-135.6599999999998</v>
      </c>
      <c r="K177" s="9" t="n">
        <v>95.18000000000001</v>
      </c>
    </row>
    <row r="178">
      <c r="A178" s="2" t="n">
        <v>45460</v>
      </c>
      <c r="B178" s="3" t="inlineStr">
        <is>
          <t>2024-06</t>
        </is>
      </c>
      <c r="C178" s="3" t="inlineStr">
        <is>
          <t>Shopping</t>
        </is>
      </c>
      <c r="D178" s="4" t="n">
        <v>4211.95</v>
      </c>
      <c r="E178" s="4" t="n">
        <v>54716.81</v>
      </c>
      <c r="F178" s="4" t="n">
        <v>3500</v>
      </c>
      <c r="G178" s="3" t="inlineStr">
        <is>
          <t>Credit Card</t>
        </is>
      </c>
      <c r="H178" s="3" t="n">
        <v>2024</v>
      </c>
      <c r="I178" s="3" t="inlineStr">
        <is>
          <t>Q2</t>
        </is>
      </c>
      <c r="J178" s="4" t="n">
        <v>-711.9499999999998</v>
      </c>
      <c r="K178" s="5" t="n">
        <v>92.3</v>
      </c>
    </row>
    <row r="179">
      <c r="A179" s="6" t="n">
        <v>45464</v>
      </c>
      <c r="B179" s="7" t="inlineStr">
        <is>
          <t>2024-06</t>
        </is>
      </c>
      <c r="C179" s="7" t="inlineStr">
        <is>
          <t>Utilities</t>
        </is>
      </c>
      <c r="D179" s="8" t="n">
        <v>1701.96</v>
      </c>
      <c r="E179" s="8" t="n">
        <v>54716.81</v>
      </c>
      <c r="F179" s="8" t="n">
        <v>2000</v>
      </c>
      <c r="G179" s="7" t="inlineStr">
        <is>
          <t>UPI</t>
        </is>
      </c>
      <c r="H179" s="7" t="n">
        <v>2024</v>
      </c>
      <c r="I179" s="7" t="inlineStr">
        <is>
          <t>Q2</t>
        </is>
      </c>
      <c r="J179" s="8" t="n">
        <v>298.04</v>
      </c>
      <c r="K179" s="9" t="n">
        <v>96.89</v>
      </c>
    </row>
    <row r="180">
      <c r="A180" s="2" t="n">
        <v>45457</v>
      </c>
      <c r="B180" s="3" t="inlineStr">
        <is>
          <t>2024-06</t>
        </is>
      </c>
      <c r="C180" s="3" t="inlineStr">
        <is>
          <t>Savings</t>
        </is>
      </c>
      <c r="D180" s="4" t="n">
        <v>4281.27</v>
      </c>
      <c r="E180" s="4" t="n">
        <v>54716.81</v>
      </c>
      <c r="F180" s="4" t="n">
        <v>6000</v>
      </c>
      <c r="G180" s="3" t="inlineStr">
        <is>
          <t>Credit Card</t>
        </is>
      </c>
      <c r="H180" s="3" t="n">
        <v>2024</v>
      </c>
      <c r="I180" s="3" t="inlineStr">
        <is>
          <t>Q2</t>
        </is>
      </c>
      <c r="J180" s="4" t="n">
        <v>1718.73</v>
      </c>
      <c r="K180" s="5" t="n">
        <v>92.18000000000001</v>
      </c>
    </row>
    <row r="181">
      <c r="A181" s="6" t="n">
        <v>45449</v>
      </c>
      <c r="B181" s="7" t="inlineStr">
        <is>
          <t>2024-06</t>
        </is>
      </c>
      <c r="C181" s="7" t="inlineStr">
        <is>
          <t>Miscellaneous</t>
        </is>
      </c>
      <c r="D181" s="8" t="n">
        <v>1745.96</v>
      </c>
      <c r="E181" s="8" t="n">
        <v>54716.81</v>
      </c>
      <c r="F181" s="8" t="n">
        <v>1500</v>
      </c>
      <c r="G181" s="7" t="inlineStr">
        <is>
          <t>Net Banking</t>
        </is>
      </c>
      <c r="H181" s="7" t="n">
        <v>2024</v>
      </c>
      <c r="I181" s="7" t="inlineStr">
        <is>
          <t>Q2</t>
        </is>
      </c>
      <c r="J181" s="8" t="n">
        <v>-245.96</v>
      </c>
      <c r="K181" s="9" t="n">
        <v>96.81</v>
      </c>
    </row>
    <row r="182">
      <c r="A182" s="2" t="n">
        <v>45475</v>
      </c>
      <c r="B182" s="3" t="inlineStr">
        <is>
          <t>2024-07</t>
        </is>
      </c>
      <c r="C182" s="3" t="inlineStr">
        <is>
          <t>Housing</t>
        </is>
      </c>
      <c r="D182" s="4" t="n">
        <v>12370.98</v>
      </c>
      <c r="E182" s="4" t="n">
        <v>60500</v>
      </c>
      <c r="F182" s="4" t="n">
        <v>12500</v>
      </c>
      <c r="G182" s="3" t="inlineStr">
        <is>
          <t>Credit Card</t>
        </is>
      </c>
      <c r="H182" s="3" t="n">
        <v>2024</v>
      </c>
      <c r="I182" s="3" t="inlineStr">
        <is>
          <t>Q3</t>
        </is>
      </c>
      <c r="J182" s="4" t="n">
        <v>129.0200000000004</v>
      </c>
      <c r="K182" s="5" t="n">
        <v>79.55</v>
      </c>
    </row>
    <row r="183">
      <c r="A183" s="6" t="n">
        <v>45503</v>
      </c>
      <c r="B183" s="7" t="inlineStr">
        <is>
          <t>2024-07</t>
        </is>
      </c>
      <c r="C183" s="7" t="inlineStr">
        <is>
          <t>Food</t>
        </is>
      </c>
      <c r="D183" s="8" t="n">
        <v>8951.66</v>
      </c>
      <c r="E183" s="8" t="n">
        <v>60500</v>
      </c>
      <c r="F183" s="8" t="n">
        <v>6000</v>
      </c>
      <c r="G183" s="7" t="inlineStr">
        <is>
          <t>UPI</t>
        </is>
      </c>
      <c r="H183" s="7" t="n">
        <v>2024</v>
      </c>
      <c r="I183" s="7" t="inlineStr">
        <is>
          <t>Q3</t>
        </is>
      </c>
      <c r="J183" s="8" t="n">
        <v>-2951.66</v>
      </c>
      <c r="K183" s="9" t="n">
        <v>85.2</v>
      </c>
    </row>
    <row r="184">
      <c r="A184" s="2" t="n">
        <v>45488</v>
      </c>
      <c r="B184" s="3" t="inlineStr">
        <is>
          <t>2024-07</t>
        </is>
      </c>
      <c r="C184" s="3" t="inlineStr">
        <is>
          <t>Transport</t>
        </is>
      </c>
      <c r="D184" s="4" t="n">
        <v>3907.66</v>
      </c>
      <c r="E184" s="4" t="n">
        <v>60500</v>
      </c>
      <c r="F184" s="4" t="n">
        <v>3000</v>
      </c>
      <c r="G184" s="3" t="inlineStr">
        <is>
          <t>Credit Card</t>
        </is>
      </c>
      <c r="H184" s="3" t="n">
        <v>2024</v>
      </c>
      <c r="I184" s="3" t="inlineStr">
        <is>
          <t>Q3</t>
        </is>
      </c>
      <c r="J184" s="4" t="n">
        <v>-907.66</v>
      </c>
      <c r="K184" s="5" t="n">
        <v>93.54000000000001</v>
      </c>
    </row>
    <row r="185">
      <c r="A185" s="6" t="n">
        <v>45494</v>
      </c>
      <c r="B185" s="7" t="inlineStr">
        <is>
          <t>2024-07</t>
        </is>
      </c>
      <c r="C185" s="7" t="inlineStr">
        <is>
          <t>Healthcare</t>
        </is>
      </c>
      <c r="D185" s="8" t="n">
        <v>1424.66</v>
      </c>
      <c r="E185" s="8" t="n">
        <v>60500</v>
      </c>
      <c r="F185" s="8" t="n">
        <v>2000</v>
      </c>
      <c r="G185" s="7" t="inlineStr">
        <is>
          <t>UPI</t>
        </is>
      </c>
      <c r="H185" s="7" t="n">
        <v>2024</v>
      </c>
      <c r="I185" s="7" t="inlineStr">
        <is>
          <t>Q3</t>
        </is>
      </c>
      <c r="J185" s="8" t="n">
        <v>575.3399999999999</v>
      </c>
      <c r="K185" s="9" t="n">
        <v>97.65000000000001</v>
      </c>
    </row>
    <row r="186">
      <c r="A186" s="2" t="n">
        <v>45490</v>
      </c>
      <c r="B186" s="3" t="inlineStr">
        <is>
          <t>2024-07</t>
        </is>
      </c>
      <c r="C186" s="3" t="inlineStr">
        <is>
          <t>Entertainment</t>
        </is>
      </c>
      <c r="D186" s="4" t="n">
        <v>3682.47</v>
      </c>
      <c r="E186" s="4" t="n">
        <v>60500</v>
      </c>
      <c r="F186" s="4" t="n">
        <v>2000</v>
      </c>
      <c r="G186" s="3" t="inlineStr">
        <is>
          <t>UPI</t>
        </is>
      </c>
      <c r="H186" s="3" t="n">
        <v>2024</v>
      </c>
      <c r="I186" s="3" t="inlineStr">
        <is>
          <t>Q3</t>
        </is>
      </c>
      <c r="J186" s="4" t="n">
        <v>-1682.47</v>
      </c>
      <c r="K186" s="5" t="n">
        <v>93.91</v>
      </c>
    </row>
    <row r="187">
      <c r="A187" s="6" t="n">
        <v>45475</v>
      </c>
      <c r="B187" s="7" t="inlineStr">
        <is>
          <t>2024-07</t>
        </is>
      </c>
      <c r="C187" s="7" t="inlineStr">
        <is>
          <t>Education</t>
        </is>
      </c>
      <c r="D187" s="8" t="n">
        <v>1850</v>
      </c>
      <c r="E187" s="8" t="n">
        <v>60500</v>
      </c>
      <c r="F187" s="8" t="n">
        <v>2500</v>
      </c>
      <c r="G187" s="7" t="inlineStr">
        <is>
          <t>Credit Card</t>
        </is>
      </c>
      <c r="H187" s="7" t="n">
        <v>2024</v>
      </c>
      <c r="I187" s="7" t="inlineStr">
        <is>
          <t>Q3</t>
        </is>
      </c>
      <c r="J187" s="8" t="n">
        <v>650</v>
      </c>
      <c r="K187" s="9" t="n">
        <v>96.94</v>
      </c>
    </row>
    <row r="188">
      <c r="A188" s="2" t="n">
        <v>45478</v>
      </c>
      <c r="B188" s="3" t="inlineStr">
        <is>
          <t>2024-07</t>
        </is>
      </c>
      <c r="C188" s="3" t="inlineStr">
        <is>
          <t>Shopping</t>
        </is>
      </c>
      <c r="D188" s="4" t="n">
        <v>4862.42</v>
      </c>
      <c r="E188" s="4" t="n">
        <v>60500</v>
      </c>
      <c r="F188" s="4" t="n">
        <v>3500</v>
      </c>
      <c r="G188" s="3" t="inlineStr">
        <is>
          <t>Net Banking</t>
        </is>
      </c>
      <c r="H188" s="3" t="n">
        <v>2024</v>
      </c>
      <c r="I188" s="3" t="inlineStr">
        <is>
          <t>Q3</t>
        </is>
      </c>
      <c r="J188" s="4" t="n">
        <v>-1362.42</v>
      </c>
      <c r="K188" s="5" t="n">
        <v>91.95999999999999</v>
      </c>
    </row>
    <row r="189">
      <c r="A189" s="6" t="n">
        <v>45479</v>
      </c>
      <c r="B189" s="7" t="inlineStr">
        <is>
          <t>2024-07</t>
        </is>
      </c>
      <c r="C189" s="7" t="inlineStr">
        <is>
          <t>Utilities</t>
        </is>
      </c>
      <c r="D189" s="8" t="n">
        <v>2054.69</v>
      </c>
      <c r="E189" s="8" t="n">
        <v>60500</v>
      </c>
      <c r="F189" s="8" t="n">
        <v>2000</v>
      </c>
      <c r="G189" s="7" t="inlineStr">
        <is>
          <t>Net Banking</t>
        </is>
      </c>
      <c r="H189" s="7" t="n">
        <v>2024</v>
      </c>
      <c r="I189" s="7" t="inlineStr">
        <is>
          <t>Q3</t>
        </is>
      </c>
      <c r="J189" s="8" t="n">
        <v>-54.69000000000005</v>
      </c>
      <c r="K189" s="9" t="n">
        <v>96.59999999999999</v>
      </c>
    </row>
    <row r="190">
      <c r="A190" s="2" t="n">
        <v>45483</v>
      </c>
      <c r="B190" s="3" t="inlineStr">
        <is>
          <t>2024-07</t>
        </is>
      </c>
      <c r="C190" s="3" t="inlineStr">
        <is>
          <t>Savings</t>
        </is>
      </c>
      <c r="D190" s="4" t="n">
        <v>6276.91</v>
      </c>
      <c r="E190" s="4" t="n">
        <v>60500</v>
      </c>
      <c r="F190" s="4" t="n">
        <v>6000</v>
      </c>
      <c r="G190" s="3" t="inlineStr">
        <is>
          <t>UPI</t>
        </is>
      </c>
      <c r="H190" s="3" t="n">
        <v>2024</v>
      </c>
      <c r="I190" s="3" t="inlineStr">
        <is>
          <t>Q3</t>
        </is>
      </c>
      <c r="J190" s="4" t="n">
        <v>-276.9099999999999</v>
      </c>
      <c r="K190" s="5" t="n">
        <v>89.62</v>
      </c>
    </row>
    <row r="191">
      <c r="A191" s="6" t="n">
        <v>45490</v>
      </c>
      <c r="B191" s="7" t="inlineStr">
        <is>
          <t>2024-07</t>
        </is>
      </c>
      <c r="C191" s="7" t="inlineStr">
        <is>
          <t>Miscellaneous</t>
        </is>
      </c>
      <c r="D191" s="8" t="n">
        <v>1800.53</v>
      </c>
      <c r="E191" s="8" t="n">
        <v>60500</v>
      </c>
      <c r="F191" s="8" t="n">
        <v>1500</v>
      </c>
      <c r="G191" s="7" t="inlineStr">
        <is>
          <t>Credit Card</t>
        </is>
      </c>
      <c r="H191" s="7" t="n">
        <v>2024</v>
      </c>
      <c r="I191" s="7" t="inlineStr">
        <is>
          <t>Q3</t>
        </is>
      </c>
      <c r="J191" s="8" t="n">
        <v>-300.53</v>
      </c>
      <c r="K191" s="9" t="n">
        <v>97.02</v>
      </c>
    </row>
    <row r="192">
      <c r="A192" s="2" t="n">
        <v>45517</v>
      </c>
      <c r="B192" s="3" t="inlineStr">
        <is>
          <t>2024-08</t>
        </is>
      </c>
      <c r="C192" s="3" t="inlineStr">
        <is>
          <t>Housing</t>
        </is>
      </c>
      <c r="D192" s="4" t="n">
        <v>11671.74</v>
      </c>
      <c r="E192" s="4" t="n">
        <v>60500</v>
      </c>
      <c r="F192" s="4" t="n">
        <v>12500</v>
      </c>
      <c r="G192" s="3" t="inlineStr">
        <is>
          <t>Cash</t>
        </is>
      </c>
      <c r="H192" s="3" t="n">
        <v>2024</v>
      </c>
      <c r="I192" s="3" t="inlineStr">
        <is>
          <t>Q3</t>
        </is>
      </c>
      <c r="J192" s="4" t="n">
        <v>828.2600000000002</v>
      </c>
      <c r="K192" s="5" t="n">
        <v>80.70999999999999</v>
      </c>
    </row>
    <row r="193">
      <c r="A193" s="6" t="n">
        <v>45534</v>
      </c>
      <c r="B193" s="7" t="inlineStr">
        <is>
          <t>2024-08</t>
        </is>
      </c>
      <c r="C193" s="7" t="inlineStr">
        <is>
          <t>Food</t>
        </is>
      </c>
      <c r="D193" s="8" t="n">
        <v>6695.92</v>
      </c>
      <c r="E193" s="8" t="n">
        <v>60500</v>
      </c>
      <c r="F193" s="8" t="n">
        <v>6000</v>
      </c>
      <c r="G193" s="7" t="inlineStr">
        <is>
          <t>UPI</t>
        </is>
      </c>
      <c r="H193" s="7" t="n">
        <v>2024</v>
      </c>
      <c r="I193" s="7" t="inlineStr">
        <is>
          <t>Q3</t>
        </is>
      </c>
      <c r="J193" s="8" t="n">
        <v>-695.9200000000001</v>
      </c>
      <c r="K193" s="9" t="n">
        <v>88.93000000000001</v>
      </c>
    </row>
    <row r="194">
      <c r="A194" s="2" t="n">
        <v>45507</v>
      </c>
      <c r="B194" s="3" t="inlineStr">
        <is>
          <t>2024-08</t>
        </is>
      </c>
      <c r="C194" s="3" t="inlineStr">
        <is>
          <t>Transport</t>
        </is>
      </c>
      <c r="D194" s="4" t="n">
        <v>1113.1</v>
      </c>
      <c r="E194" s="4" t="n">
        <v>60500</v>
      </c>
      <c r="F194" s="4" t="n">
        <v>3000</v>
      </c>
      <c r="G194" s="3" t="inlineStr">
        <is>
          <t>Debit Card</t>
        </is>
      </c>
      <c r="H194" s="3" t="n">
        <v>2024</v>
      </c>
      <c r="I194" s="3" t="inlineStr">
        <is>
          <t>Q3</t>
        </is>
      </c>
      <c r="J194" s="4" t="n">
        <v>1886.9</v>
      </c>
      <c r="K194" s="5" t="n">
        <v>98.16</v>
      </c>
    </row>
    <row r="195">
      <c r="A195" s="6" t="n">
        <v>45516</v>
      </c>
      <c r="B195" s="7" t="inlineStr">
        <is>
          <t>2024-08</t>
        </is>
      </c>
      <c r="C195" s="7" t="inlineStr">
        <is>
          <t>Healthcare</t>
        </is>
      </c>
      <c r="D195" s="8" t="n">
        <v>1585.39</v>
      </c>
      <c r="E195" s="8" t="n">
        <v>60500</v>
      </c>
      <c r="F195" s="8" t="n">
        <v>2000</v>
      </c>
      <c r="G195" s="7" t="inlineStr">
        <is>
          <t>UPI</t>
        </is>
      </c>
      <c r="H195" s="7" t="n">
        <v>2024</v>
      </c>
      <c r="I195" s="7" t="inlineStr">
        <is>
          <t>Q3</t>
        </is>
      </c>
      <c r="J195" s="8" t="n">
        <v>414.6099999999999</v>
      </c>
      <c r="K195" s="9" t="n">
        <v>97.38</v>
      </c>
    </row>
    <row r="196">
      <c r="A196" s="2" t="n">
        <v>45535</v>
      </c>
      <c r="B196" s="3" t="inlineStr">
        <is>
          <t>2024-08</t>
        </is>
      </c>
      <c r="C196" s="3" t="inlineStr">
        <is>
          <t>Entertainment</t>
        </is>
      </c>
      <c r="D196" s="4" t="n">
        <v>3164.6</v>
      </c>
      <c r="E196" s="4" t="n">
        <v>60500</v>
      </c>
      <c r="F196" s="4" t="n">
        <v>2000</v>
      </c>
      <c r="G196" s="3" t="inlineStr">
        <is>
          <t>Credit Card</t>
        </is>
      </c>
      <c r="H196" s="3" t="n">
        <v>2024</v>
      </c>
      <c r="I196" s="3" t="inlineStr">
        <is>
          <t>Q3</t>
        </is>
      </c>
      <c r="J196" s="4" t="n">
        <v>-1164.6</v>
      </c>
      <c r="K196" s="5" t="n">
        <v>94.77</v>
      </c>
    </row>
    <row r="197">
      <c r="A197" s="6" t="n">
        <v>45519</v>
      </c>
      <c r="B197" s="7" t="inlineStr">
        <is>
          <t>2024-08</t>
        </is>
      </c>
      <c r="C197" s="7" t="inlineStr">
        <is>
          <t>Education</t>
        </is>
      </c>
      <c r="D197" s="8" t="n">
        <v>2536.84</v>
      </c>
      <c r="E197" s="8" t="n">
        <v>60500</v>
      </c>
      <c r="F197" s="8" t="n">
        <v>2500</v>
      </c>
      <c r="G197" s="7" t="inlineStr">
        <is>
          <t>UPI</t>
        </is>
      </c>
      <c r="H197" s="7" t="n">
        <v>2024</v>
      </c>
      <c r="I197" s="7" t="inlineStr">
        <is>
          <t>Q3</t>
        </is>
      </c>
      <c r="J197" s="8" t="n">
        <v>-36.84000000000015</v>
      </c>
      <c r="K197" s="9" t="n">
        <v>95.81</v>
      </c>
    </row>
    <row r="198">
      <c r="A198" s="2" t="n">
        <v>45511</v>
      </c>
      <c r="B198" s="3" t="inlineStr">
        <is>
          <t>2024-08</t>
        </is>
      </c>
      <c r="C198" s="3" t="inlineStr">
        <is>
          <t>Shopping</t>
        </is>
      </c>
      <c r="D198" s="4" t="n">
        <v>5979.55</v>
      </c>
      <c r="E198" s="4" t="n">
        <v>60500</v>
      </c>
      <c r="F198" s="4" t="n">
        <v>3500</v>
      </c>
      <c r="G198" s="3" t="inlineStr">
        <is>
          <t>Credit Card</t>
        </is>
      </c>
      <c r="H198" s="3" t="n">
        <v>2024</v>
      </c>
      <c r="I198" s="3" t="inlineStr">
        <is>
          <t>Q3</t>
        </is>
      </c>
      <c r="J198" s="4" t="n">
        <v>-2479.55</v>
      </c>
      <c r="K198" s="5" t="n">
        <v>90.12</v>
      </c>
    </row>
    <row r="199">
      <c r="A199" s="6" t="n">
        <v>45532</v>
      </c>
      <c r="B199" s="7" t="inlineStr">
        <is>
          <t>2024-08</t>
        </is>
      </c>
      <c r="C199" s="7" t="inlineStr">
        <is>
          <t>Utilities</t>
        </is>
      </c>
      <c r="D199" s="8" t="n">
        <v>2357.56</v>
      </c>
      <c r="E199" s="8" t="n">
        <v>60500</v>
      </c>
      <c r="F199" s="8" t="n">
        <v>2000</v>
      </c>
      <c r="G199" s="7" t="inlineStr">
        <is>
          <t>Net Banking</t>
        </is>
      </c>
      <c r="H199" s="7" t="n">
        <v>2024</v>
      </c>
      <c r="I199" s="7" t="inlineStr">
        <is>
          <t>Q3</t>
        </is>
      </c>
      <c r="J199" s="8" t="n">
        <v>-357.5599999999999</v>
      </c>
      <c r="K199" s="9" t="n">
        <v>96.09999999999999</v>
      </c>
    </row>
    <row r="200">
      <c r="A200" s="2" t="n">
        <v>45519</v>
      </c>
      <c r="B200" s="3" t="inlineStr">
        <is>
          <t>2024-08</t>
        </is>
      </c>
      <c r="C200" s="3" t="inlineStr">
        <is>
          <t>Savings</t>
        </is>
      </c>
      <c r="D200" s="4" t="n">
        <v>6288.46</v>
      </c>
      <c r="E200" s="4" t="n">
        <v>60500</v>
      </c>
      <c r="F200" s="4" t="n">
        <v>6000</v>
      </c>
      <c r="G200" s="3" t="inlineStr">
        <is>
          <t>Debit Card</t>
        </is>
      </c>
      <c r="H200" s="3" t="n">
        <v>2024</v>
      </c>
      <c r="I200" s="3" t="inlineStr">
        <is>
          <t>Q3</t>
        </is>
      </c>
      <c r="J200" s="4" t="n">
        <v>-288.46</v>
      </c>
      <c r="K200" s="5" t="n">
        <v>89.61</v>
      </c>
    </row>
    <row r="201">
      <c r="A201" s="6" t="n">
        <v>45535</v>
      </c>
      <c r="B201" s="7" t="inlineStr">
        <is>
          <t>2024-08</t>
        </is>
      </c>
      <c r="C201" s="7" t="inlineStr">
        <is>
          <t>Miscellaneous</t>
        </is>
      </c>
      <c r="D201" s="8" t="n">
        <v>2137</v>
      </c>
      <c r="E201" s="8" t="n">
        <v>60500</v>
      </c>
      <c r="F201" s="8" t="n">
        <v>1500</v>
      </c>
      <c r="G201" s="7" t="inlineStr">
        <is>
          <t>UPI</t>
        </is>
      </c>
      <c r="H201" s="7" t="n">
        <v>2024</v>
      </c>
      <c r="I201" s="7" t="inlineStr">
        <is>
          <t>Q3</t>
        </is>
      </c>
      <c r="J201" s="8" t="n">
        <v>-637</v>
      </c>
      <c r="K201" s="9" t="n">
        <v>96.47</v>
      </c>
    </row>
    <row r="202">
      <c r="A202" s="2" t="n">
        <v>45550</v>
      </c>
      <c r="B202" s="3" t="inlineStr">
        <is>
          <t>2024-09</t>
        </is>
      </c>
      <c r="C202" s="3" t="inlineStr">
        <is>
          <t>Housing</t>
        </is>
      </c>
      <c r="D202" s="4" t="n">
        <v>10985.38</v>
      </c>
      <c r="E202" s="4" t="n">
        <v>60500</v>
      </c>
      <c r="F202" s="4" t="n">
        <v>12500</v>
      </c>
      <c r="G202" s="3" t="inlineStr">
        <is>
          <t>Debit Card</t>
        </is>
      </c>
      <c r="H202" s="3" t="n">
        <v>2024</v>
      </c>
      <c r="I202" s="3" t="inlineStr">
        <is>
          <t>Q3</t>
        </is>
      </c>
      <c r="J202" s="4" t="n">
        <v>1514.620000000001</v>
      </c>
      <c r="K202" s="5" t="n">
        <v>81.84</v>
      </c>
    </row>
    <row r="203">
      <c r="A203" s="6" t="n">
        <v>45558</v>
      </c>
      <c r="B203" s="7" t="inlineStr">
        <is>
          <t>2024-09</t>
        </is>
      </c>
      <c r="C203" s="7" t="inlineStr">
        <is>
          <t>Food</t>
        </is>
      </c>
      <c r="D203" s="8" t="n">
        <v>8461.299999999999</v>
      </c>
      <c r="E203" s="8" t="n">
        <v>60500</v>
      </c>
      <c r="F203" s="8" t="n">
        <v>6000</v>
      </c>
      <c r="G203" s="7" t="inlineStr">
        <is>
          <t>Debit Card</t>
        </is>
      </c>
      <c r="H203" s="7" t="n">
        <v>2024</v>
      </c>
      <c r="I203" s="7" t="inlineStr">
        <is>
          <t>Q3</t>
        </is>
      </c>
      <c r="J203" s="8" t="n">
        <v>-2461.3</v>
      </c>
      <c r="K203" s="9" t="n">
        <v>86.01000000000001</v>
      </c>
    </row>
    <row r="204">
      <c r="A204" s="2" t="n">
        <v>45545</v>
      </c>
      <c r="B204" s="3" t="inlineStr">
        <is>
          <t>2024-09</t>
        </is>
      </c>
      <c r="C204" s="3" t="inlineStr">
        <is>
          <t>Transport</t>
        </is>
      </c>
      <c r="D204" s="4" t="n">
        <v>3781.18</v>
      </c>
      <c r="E204" s="4" t="n">
        <v>60500</v>
      </c>
      <c r="F204" s="4" t="n">
        <v>3000</v>
      </c>
      <c r="G204" s="3" t="inlineStr">
        <is>
          <t>Net Banking</t>
        </is>
      </c>
      <c r="H204" s="3" t="n">
        <v>2024</v>
      </c>
      <c r="I204" s="3" t="inlineStr">
        <is>
          <t>Q3</t>
        </is>
      </c>
      <c r="J204" s="4" t="n">
        <v>-781.1799999999998</v>
      </c>
      <c r="K204" s="5" t="n">
        <v>93.75</v>
      </c>
    </row>
    <row r="205">
      <c r="A205" s="6" t="n">
        <v>45545</v>
      </c>
      <c r="B205" s="7" t="inlineStr">
        <is>
          <t>2024-09</t>
        </is>
      </c>
      <c r="C205" s="7" t="inlineStr">
        <is>
          <t>Healthcare</t>
        </is>
      </c>
      <c r="D205" s="8" t="n">
        <v>2316.59</v>
      </c>
      <c r="E205" s="8" t="n">
        <v>60500</v>
      </c>
      <c r="F205" s="8" t="n">
        <v>2000</v>
      </c>
      <c r="G205" s="7" t="inlineStr">
        <is>
          <t>UPI</t>
        </is>
      </c>
      <c r="H205" s="7" t="n">
        <v>2024</v>
      </c>
      <c r="I205" s="7" t="inlineStr">
        <is>
          <t>Q3</t>
        </is>
      </c>
      <c r="J205" s="8" t="n">
        <v>-316.5900000000001</v>
      </c>
      <c r="K205" s="9" t="n">
        <v>96.17</v>
      </c>
    </row>
    <row r="206">
      <c r="A206" s="2" t="n">
        <v>45565</v>
      </c>
      <c r="B206" s="3" t="inlineStr">
        <is>
          <t>2024-09</t>
        </is>
      </c>
      <c r="C206" s="3" t="inlineStr">
        <is>
          <t>Entertainment</t>
        </is>
      </c>
      <c r="D206" s="4" t="n">
        <v>1433.79</v>
      </c>
      <c r="E206" s="4" t="n">
        <v>60500</v>
      </c>
      <c r="F206" s="4" t="n">
        <v>2000</v>
      </c>
      <c r="G206" s="3" t="inlineStr">
        <is>
          <t>Cash</t>
        </is>
      </c>
      <c r="H206" s="3" t="n">
        <v>2024</v>
      </c>
      <c r="I206" s="3" t="inlineStr">
        <is>
          <t>Q3</t>
        </is>
      </c>
      <c r="J206" s="4" t="n">
        <v>566.21</v>
      </c>
      <c r="K206" s="5" t="n">
        <v>97.63</v>
      </c>
    </row>
    <row r="207">
      <c r="A207" s="6" t="n">
        <v>45551</v>
      </c>
      <c r="B207" s="7" t="inlineStr">
        <is>
          <t>2024-09</t>
        </is>
      </c>
      <c r="C207" s="7" t="inlineStr">
        <is>
          <t>Education</t>
        </is>
      </c>
      <c r="D207" s="8" t="n">
        <v>2482.37</v>
      </c>
      <c r="E207" s="8" t="n">
        <v>60500</v>
      </c>
      <c r="F207" s="8" t="n">
        <v>2500</v>
      </c>
      <c r="G207" s="7" t="inlineStr">
        <is>
          <t>Debit Card</t>
        </is>
      </c>
      <c r="H207" s="7" t="n">
        <v>2024</v>
      </c>
      <c r="I207" s="7" t="inlineStr">
        <is>
          <t>Q3</t>
        </is>
      </c>
      <c r="J207" s="8" t="n">
        <v>17.63000000000011</v>
      </c>
      <c r="K207" s="9" t="n">
        <v>95.90000000000001</v>
      </c>
    </row>
    <row r="208">
      <c r="A208" s="2" t="n">
        <v>45551</v>
      </c>
      <c r="B208" s="3" t="inlineStr">
        <is>
          <t>2024-09</t>
        </is>
      </c>
      <c r="C208" s="3" t="inlineStr">
        <is>
          <t>Shopping</t>
        </is>
      </c>
      <c r="D208" s="4" t="n">
        <v>1390.14</v>
      </c>
      <c r="E208" s="4" t="n">
        <v>60500</v>
      </c>
      <c r="F208" s="4" t="n">
        <v>3500</v>
      </c>
      <c r="G208" s="3" t="inlineStr">
        <is>
          <t>Credit Card</t>
        </is>
      </c>
      <c r="H208" s="3" t="n">
        <v>2024</v>
      </c>
      <c r="I208" s="3" t="inlineStr">
        <is>
          <t>Q3</t>
        </is>
      </c>
      <c r="J208" s="4" t="n">
        <v>2109.86</v>
      </c>
      <c r="K208" s="5" t="n">
        <v>97.7</v>
      </c>
    </row>
    <row r="209">
      <c r="A209" s="6" t="n">
        <v>45557</v>
      </c>
      <c r="B209" s="7" t="inlineStr">
        <is>
          <t>2024-09</t>
        </is>
      </c>
      <c r="C209" s="7" t="inlineStr">
        <is>
          <t>Utilities</t>
        </is>
      </c>
      <c r="D209" s="8" t="n">
        <v>2809.64</v>
      </c>
      <c r="E209" s="8" t="n">
        <v>60500</v>
      </c>
      <c r="F209" s="8" t="n">
        <v>2000</v>
      </c>
      <c r="G209" s="7" t="inlineStr">
        <is>
          <t>Cash</t>
        </is>
      </c>
      <c r="H209" s="7" t="n">
        <v>2024</v>
      </c>
      <c r="I209" s="7" t="inlineStr">
        <is>
          <t>Q3</t>
        </is>
      </c>
      <c r="J209" s="8" t="n">
        <v>-809.6399999999999</v>
      </c>
      <c r="K209" s="9" t="n">
        <v>95.36</v>
      </c>
    </row>
    <row r="210">
      <c r="A210" s="2" t="n">
        <v>45560</v>
      </c>
      <c r="B210" s="3" t="inlineStr">
        <is>
          <t>2024-09</t>
        </is>
      </c>
      <c r="C210" s="3" t="inlineStr">
        <is>
          <t>Savings</t>
        </is>
      </c>
      <c r="D210" s="4" t="n">
        <v>5448.18</v>
      </c>
      <c r="E210" s="4" t="n">
        <v>60500</v>
      </c>
      <c r="F210" s="4" t="n">
        <v>6000</v>
      </c>
      <c r="G210" s="3" t="inlineStr">
        <is>
          <t>UPI</t>
        </is>
      </c>
      <c r="H210" s="3" t="n">
        <v>2024</v>
      </c>
      <c r="I210" s="3" t="inlineStr">
        <is>
          <t>Q3</t>
        </is>
      </c>
      <c r="J210" s="4" t="n">
        <v>551.8199999999997</v>
      </c>
      <c r="K210" s="5" t="n">
        <v>90.98999999999999</v>
      </c>
    </row>
    <row r="211">
      <c r="A211" s="6" t="n">
        <v>45538</v>
      </c>
      <c r="B211" s="7" t="inlineStr">
        <is>
          <t>2024-09</t>
        </is>
      </c>
      <c r="C211" s="7" t="inlineStr">
        <is>
          <t>Miscellaneous</t>
        </is>
      </c>
      <c r="D211" s="8" t="n">
        <v>1043.94</v>
      </c>
      <c r="E211" s="8" t="n">
        <v>60500</v>
      </c>
      <c r="F211" s="8" t="n">
        <v>1500</v>
      </c>
      <c r="G211" s="7" t="inlineStr">
        <is>
          <t>Debit Card</t>
        </is>
      </c>
      <c r="H211" s="7" t="n">
        <v>2024</v>
      </c>
      <c r="I211" s="7" t="inlineStr">
        <is>
          <t>Q3</t>
        </is>
      </c>
      <c r="J211" s="8" t="n">
        <v>456.06</v>
      </c>
      <c r="K211" s="9" t="n">
        <v>98.27</v>
      </c>
    </row>
    <row r="212">
      <c r="A212" s="2" t="n">
        <v>45584</v>
      </c>
      <c r="B212" s="3" t="inlineStr">
        <is>
          <t>2024-10</t>
        </is>
      </c>
      <c r="C212" s="3" t="inlineStr">
        <is>
          <t>Housing</t>
        </is>
      </c>
      <c r="D212" s="4" t="n">
        <v>12038.02</v>
      </c>
      <c r="E212" s="4" t="n">
        <v>60500</v>
      </c>
      <c r="F212" s="4" t="n">
        <v>12500</v>
      </c>
      <c r="G212" s="3" t="inlineStr">
        <is>
          <t>Credit Card</t>
        </is>
      </c>
      <c r="H212" s="3" t="n">
        <v>2024</v>
      </c>
      <c r="I212" s="3" t="inlineStr">
        <is>
          <t>Q4</t>
        </is>
      </c>
      <c r="J212" s="4" t="n">
        <v>461.9799999999996</v>
      </c>
      <c r="K212" s="5" t="n">
        <v>80.09999999999999</v>
      </c>
    </row>
    <row r="213">
      <c r="A213" s="6" t="n">
        <v>45570</v>
      </c>
      <c r="B213" s="7" t="inlineStr">
        <is>
          <t>2024-10</t>
        </is>
      </c>
      <c r="C213" s="7" t="inlineStr">
        <is>
          <t>Food</t>
        </is>
      </c>
      <c r="D213" s="8" t="n">
        <v>6852.96</v>
      </c>
      <c r="E213" s="8" t="n">
        <v>60500</v>
      </c>
      <c r="F213" s="8" t="n">
        <v>6000</v>
      </c>
      <c r="G213" s="7" t="inlineStr">
        <is>
          <t>Debit Card</t>
        </is>
      </c>
      <c r="H213" s="7" t="n">
        <v>2024</v>
      </c>
      <c r="I213" s="7" t="inlineStr">
        <is>
          <t>Q4</t>
        </is>
      </c>
      <c r="J213" s="8" t="n">
        <v>-852.96</v>
      </c>
      <c r="K213" s="9" t="n">
        <v>88.67</v>
      </c>
    </row>
    <row r="214">
      <c r="A214" s="2" t="n">
        <v>45571</v>
      </c>
      <c r="B214" s="3" t="inlineStr">
        <is>
          <t>2024-10</t>
        </is>
      </c>
      <c r="C214" s="3" t="inlineStr">
        <is>
          <t>Transport</t>
        </is>
      </c>
      <c r="D214" s="4" t="n">
        <v>3058.48</v>
      </c>
      <c r="E214" s="4" t="n">
        <v>60500</v>
      </c>
      <c r="F214" s="4" t="n">
        <v>3000</v>
      </c>
      <c r="G214" s="3" t="inlineStr">
        <is>
          <t>Credit Card</t>
        </is>
      </c>
      <c r="H214" s="3" t="n">
        <v>2024</v>
      </c>
      <c r="I214" s="3" t="inlineStr">
        <is>
          <t>Q4</t>
        </is>
      </c>
      <c r="J214" s="4" t="n">
        <v>-58.48000000000002</v>
      </c>
      <c r="K214" s="5" t="n">
        <v>94.94</v>
      </c>
    </row>
    <row r="215">
      <c r="A215" s="6" t="n">
        <v>45574</v>
      </c>
      <c r="B215" s="7" t="inlineStr">
        <is>
          <t>2024-10</t>
        </is>
      </c>
      <c r="C215" s="7" t="inlineStr">
        <is>
          <t>Healthcare</t>
        </is>
      </c>
      <c r="D215" s="8" t="n">
        <v>1738.59</v>
      </c>
      <c r="E215" s="8" t="n">
        <v>60500</v>
      </c>
      <c r="F215" s="8" t="n">
        <v>2000</v>
      </c>
      <c r="G215" s="7" t="inlineStr">
        <is>
          <t>Debit Card</t>
        </is>
      </c>
      <c r="H215" s="7" t="n">
        <v>2024</v>
      </c>
      <c r="I215" s="7" t="inlineStr">
        <is>
          <t>Q4</t>
        </is>
      </c>
      <c r="J215" s="8" t="n">
        <v>261.4100000000001</v>
      </c>
      <c r="K215" s="9" t="n">
        <v>97.13</v>
      </c>
    </row>
    <row r="216">
      <c r="A216" s="2" t="n">
        <v>45591</v>
      </c>
      <c r="B216" s="3" t="inlineStr">
        <is>
          <t>2024-10</t>
        </is>
      </c>
      <c r="C216" s="3" t="inlineStr">
        <is>
          <t>Entertainment</t>
        </is>
      </c>
      <c r="D216" s="4" t="n">
        <v>1647.06</v>
      </c>
      <c r="E216" s="4" t="n">
        <v>60500</v>
      </c>
      <c r="F216" s="4" t="n">
        <v>2000</v>
      </c>
      <c r="G216" s="3" t="inlineStr">
        <is>
          <t>UPI</t>
        </is>
      </c>
      <c r="H216" s="3" t="n">
        <v>2024</v>
      </c>
      <c r="I216" s="3" t="inlineStr">
        <is>
          <t>Q4</t>
        </is>
      </c>
      <c r="J216" s="4" t="n">
        <v>352.9400000000001</v>
      </c>
      <c r="K216" s="5" t="n">
        <v>97.28</v>
      </c>
    </row>
    <row r="217">
      <c r="A217" s="6" t="n">
        <v>45590</v>
      </c>
      <c r="B217" s="7" t="inlineStr">
        <is>
          <t>2024-10</t>
        </is>
      </c>
      <c r="C217" s="7" t="inlineStr">
        <is>
          <t>Education</t>
        </is>
      </c>
      <c r="D217" s="8" t="n">
        <v>1535.87</v>
      </c>
      <c r="E217" s="8" t="n">
        <v>60500</v>
      </c>
      <c r="F217" s="8" t="n">
        <v>2500</v>
      </c>
      <c r="G217" s="7" t="inlineStr">
        <is>
          <t>Cash</t>
        </is>
      </c>
      <c r="H217" s="7" t="n">
        <v>2024</v>
      </c>
      <c r="I217" s="7" t="inlineStr">
        <is>
          <t>Q4</t>
        </is>
      </c>
      <c r="J217" s="8" t="n">
        <v>964.13</v>
      </c>
      <c r="K217" s="9" t="n">
        <v>97.45999999999999</v>
      </c>
    </row>
    <row r="218">
      <c r="A218" s="2" t="n">
        <v>45581</v>
      </c>
      <c r="B218" s="3" t="inlineStr">
        <is>
          <t>2024-10</t>
        </is>
      </c>
      <c r="C218" s="3" t="inlineStr">
        <is>
          <t>Shopping</t>
        </is>
      </c>
      <c r="D218" s="4" t="n">
        <v>2528.74</v>
      </c>
      <c r="E218" s="4" t="n">
        <v>60500</v>
      </c>
      <c r="F218" s="4" t="n">
        <v>3500</v>
      </c>
      <c r="G218" s="3" t="inlineStr">
        <is>
          <t>Credit Card</t>
        </is>
      </c>
      <c r="H218" s="3" t="n">
        <v>2024</v>
      </c>
      <c r="I218" s="3" t="inlineStr">
        <is>
          <t>Q4</t>
        </is>
      </c>
      <c r="J218" s="4" t="n">
        <v>971.2600000000002</v>
      </c>
      <c r="K218" s="5" t="n">
        <v>95.81999999999999</v>
      </c>
    </row>
    <row r="219">
      <c r="A219" s="6" t="n">
        <v>45591</v>
      </c>
      <c r="B219" s="7" t="inlineStr">
        <is>
          <t>2024-10</t>
        </is>
      </c>
      <c r="C219" s="7" t="inlineStr">
        <is>
          <t>Utilities</t>
        </is>
      </c>
      <c r="D219" s="8" t="n">
        <v>2212.5</v>
      </c>
      <c r="E219" s="8" t="n">
        <v>60500</v>
      </c>
      <c r="F219" s="8" t="n">
        <v>2000</v>
      </c>
      <c r="G219" s="7" t="inlineStr">
        <is>
          <t>UPI</t>
        </is>
      </c>
      <c r="H219" s="7" t="n">
        <v>2024</v>
      </c>
      <c r="I219" s="7" t="inlineStr">
        <is>
          <t>Q4</t>
        </is>
      </c>
      <c r="J219" s="8" t="n">
        <v>-212.5</v>
      </c>
      <c r="K219" s="9" t="n">
        <v>96.34</v>
      </c>
    </row>
    <row r="220">
      <c r="A220" s="2" t="n">
        <v>45585</v>
      </c>
      <c r="B220" s="3" t="inlineStr">
        <is>
          <t>2024-10</t>
        </is>
      </c>
      <c r="C220" s="3" t="inlineStr">
        <is>
          <t>Savings</t>
        </is>
      </c>
      <c r="D220" s="4" t="n">
        <v>5145.21</v>
      </c>
      <c r="E220" s="4" t="n">
        <v>60500</v>
      </c>
      <c r="F220" s="4" t="n">
        <v>6000</v>
      </c>
      <c r="G220" s="3" t="inlineStr">
        <is>
          <t>Credit Card</t>
        </is>
      </c>
      <c r="H220" s="3" t="n">
        <v>2024</v>
      </c>
      <c r="I220" s="3" t="inlineStr">
        <is>
          <t>Q4</t>
        </is>
      </c>
      <c r="J220" s="4" t="n">
        <v>854.79</v>
      </c>
      <c r="K220" s="5" t="n">
        <v>91.5</v>
      </c>
    </row>
    <row r="221">
      <c r="A221" s="6" t="n">
        <v>45596</v>
      </c>
      <c r="B221" s="7" t="inlineStr">
        <is>
          <t>2024-10</t>
        </is>
      </c>
      <c r="C221" s="7" t="inlineStr">
        <is>
          <t>Miscellaneous</t>
        </is>
      </c>
      <c r="D221" s="8" t="n">
        <v>1112.38</v>
      </c>
      <c r="E221" s="8" t="n">
        <v>60500</v>
      </c>
      <c r="F221" s="8" t="n">
        <v>1500</v>
      </c>
      <c r="G221" s="7" t="inlineStr">
        <is>
          <t>Net Banking</t>
        </is>
      </c>
      <c r="H221" s="7" t="n">
        <v>2024</v>
      </c>
      <c r="I221" s="7" t="inlineStr">
        <is>
          <t>Q4</t>
        </is>
      </c>
      <c r="J221" s="8" t="n">
        <v>387.6199999999999</v>
      </c>
      <c r="K221" s="9" t="n">
        <v>98.16</v>
      </c>
    </row>
    <row r="222">
      <c r="A222" s="2" t="n">
        <v>45610</v>
      </c>
      <c r="B222" s="3" t="inlineStr">
        <is>
          <t>2024-11</t>
        </is>
      </c>
      <c r="C222" s="3" t="inlineStr">
        <is>
          <t>Housing</t>
        </is>
      </c>
      <c r="D222" s="4" t="n">
        <v>12384.36</v>
      </c>
      <c r="E222" s="4" t="n">
        <v>60500</v>
      </c>
      <c r="F222" s="4" t="n">
        <v>12500</v>
      </c>
      <c r="G222" s="3" t="inlineStr">
        <is>
          <t>Debit Card</t>
        </is>
      </c>
      <c r="H222" s="3" t="n">
        <v>2024</v>
      </c>
      <c r="I222" s="3" t="inlineStr">
        <is>
          <t>Q4</t>
        </is>
      </c>
      <c r="J222" s="4" t="n">
        <v>115.6399999999994</v>
      </c>
      <c r="K222" s="5" t="n">
        <v>79.53</v>
      </c>
    </row>
    <row r="223">
      <c r="A223" s="6" t="n">
        <v>45609</v>
      </c>
      <c r="B223" s="7" t="inlineStr">
        <is>
          <t>2024-11</t>
        </is>
      </c>
      <c r="C223" s="7" t="inlineStr">
        <is>
          <t>Food</t>
        </is>
      </c>
      <c r="D223" s="8" t="n">
        <v>5719.66</v>
      </c>
      <c r="E223" s="8" t="n">
        <v>60500</v>
      </c>
      <c r="F223" s="8" t="n">
        <v>6000</v>
      </c>
      <c r="G223" s="7" t="inlineStr">
        <is>
          <t>Credit Card</t>
        </is>
      </c>
      <c r="H223" s="7" t="n">
        <v>2024</v>
      </c>
      <c r="I223" s="7" t="inlineStr">
        <is>
          <t>Q4</t>
        </is>
      </c>
      <c r="J223" s="8" t="n">
        <v>280.3400000000001</v>
      </c>
      <c r="K223" s="9" t="n">
        <v>90.55</v>
      </c>
    </row>
    <row r="224">
      <c r="A224" s="2" t="n">
        <v>45607</v>
      </c>
      <c r="B224" s="3" t="inlineStr">
        <is>
          <t>2024-11</t>
        </is>
      </c>
      <c r="C224" s="3" t="inlineStr">
        <is>
          <t>Transport</t>
        </is>
      </c>
      <c r="D224" s="4" t="n">
        <v>3720.11</v>
      </c>
      <c r="E224" s="4" t="n">
        <v>60500</v>
      </c>
      <c r="F224" s="4" t="n">
        <v>3000</v>
      </c>
      <c r="G224" s="3" t="inlineStr">
        <is>
          <t>Debit Card</t>
        </is>
      </c>
      <c r="H224" s="3" t="n">
        <v>2024</v>
      </c>
      <c r="I224" s="3" t="inlineStr">
        <is>
          <t>Q4</t>
        </is>
      </c>
      <c r="J224" s="4" t="n">
        <v>-720.1100000000001</v>
      </c>
      <c r="K224" s="5" t="n">
        <v>93.84999999999999</v>
      </c>
    </row>
    <row r="225">
      <c r="A225" s="6" t="n">
        <v>45609</v>
      </c>
      <c r="B225" s="7" t="inlineStr">
        <is>
          <t>2024-11</t>
        </is>
      </c>
      <c r="C225" s="7" t="inlineStr">
        <is>
          <t>Healthcare</t>
        </is>
      </c>
      <c r="D225" s="8" t="n">
        <v>2176.83</v>
      </c>
      <c r="E225" s="8" t="n">
        <v>60500</v>
      </c>
      <c r="F225" s="8" t="n">
        <v>2000</v>
      </c>
      <c r="G225" s="7" t="inlineStr">
        <is>
          <t>UPI</t>
        </is>
      </c>
      <c r="H225" s="7" t="n">
        <v>2024</v>
      </c>
      <c r="I225" s="7" t="inlineStr">
        <is>
          <t>Q4</t>
        </is>
      </c>
      <c r="J225" s="8" t="n">
        <v>-176.8299999999999</v>
      </c>
      <c r="K225" s="9" t="n">
        <v>96.40000000000001</v>
      </c>
    </row>
    <row r="226">
      <c r="A226" s="2" t="n">
        <v>45621</v>
      </c>
      <c r="B226" s="3" t="inlineStr">
        <is>
          <t>2024-11</t>
        </is>
      </c>
      <c r="C226" s="3" t="inlineStr">
        <is>
          <t>Entertainment</t>
        </is>
      </c>
      <c r="D226" s="4" t="n">
        <v>1681.16</v>
      </c>
      <c r="E226" s="4" t="n">
        <v>60500</v>
      </c>
      <c r="F226" s="4" t="n">
        <v>2000</v>
      </c>
      <c r="G226" s="3" t="inlineStr">
        <is>
          <t>UPI</t>
        </is>
      </c>
      <c r="H226" s="3" t="n">
        <v>2024</v>
      </c>
      <c r="I226" s="3" t="inlineStr">
        <is>
          <t>Q4</t>
        </is>
      </c>
      <c r="J226" s="4" t="n">
        <v>318.8399999999999</v>
      </c>
      <c r="K226" s="5" t="n">
        <v>97.22</v>
      </c>
    </row>
    <row r="227">
      <c r="A227" s="6" t="n">
        <v>45624</v>
      </c>
      <c r="B227" s="7" t="inlineStr">
        <is>
          <t>2024-11</t>
        </is>
      </c>
      <c r="C227" s="7" t="inlineStr">
        <is>
          <t>Education</t>
        </is>
      </c>
      <c r="D227" s="8" t="n">
        <v>1336.36</v>
      </c>
      <c r="E227" s="8" t="n">
        <v>60500</v>
      </c>
      <c r="F227" s="8" t="n">
        <v>2500</v>
      </c>
      <c r="G227" s="7" t="inlineStr">
        <is>
          <t>Credit Card</t>
        </is>
      </c>
      <c r="H227" s="7" t="n">
        <v>2024</v>
      </c>
      <c r="I227" s="7" t="inlineStr">
        <is>
          <t>Q4</t>
        </is>
      </c>
      <c r="J227" s="8" t="n">
        <v>1163.64</v>
      </c>
      <c r="K227" s="9" t="n">
        <v>97.79000000000001</v>
      </c>
    </row>
    <row r="228">
      <c r="A228" s="2" t="n">
        <v>45622</v>
      </c>
      <c r="B228" s="3" t="inlineStr">
        <is>
          <t>2024-11</t>
        </is>
      </c>
      <c r="C228" s="3" t="inlineStr">
        <is>
          <t>Shopping</t>
        </is>
      </c>
      <c r="D228" s="4" t="n">
        <v>2726.48</v>
      </c>
      <c r="E228" s="4" t="n">
        <v>60500</v>
      </c>
      <c r="F228" s="4" t="n">
        <v>3500</v>
      </c>
      <c r="G228" s="3" t="inlineStr">
        <is>
          <t>Debit Card</t>
        </is>
      </c>
      <c r="H228" s="3" t="n">
        <v>2024</v>
      </c>
      <c r="I228" s="3" t="inlineStr">
        <is>
          <t>Q4</t>
        </is>
      </c>
      <c r="J228" s="4" t="n">
        <v>773.52</v>
      </c>
      <c r="K228" s="5" t="n">
        <v>95.48999999999999</v>
      </c>
    </row>
    <row r="229">
      <c r="A229" s="6" t="n">
        <v>45621</v>
      </c>
      <c r="B229" s="7" t="inlineStr">
        <is>
          <t>2024-11</t>
        </is>
      </c>
      <c r="C229" s="7" t="inlineStr">
        <is>
          <t>Utilities</t>
        </is>
      </c>
      <c r="D229" s="8" t="n">
        <v>2003.69</v>
      </c>
      <c r="E229" s="8" t="n">
        <v>60500</v>
      </c>
      <c r="F229" s="8" t="n">
        <v>2000</v>
      </c>
      <c r="G229" s="7" t="inlineStr">
        <is>
          <t>UPI</t>
        </is>
      </c>
      <c r="H229" s="7" t="n">
        <v>2024</v>
      </c>
      <c r="I229" s="7" t="inlineStr">
        <is>
          <t>Q4</t>
        </is>
      </c>
      <c r="J229" s="8" t="n">
        <v>-3.690000000000055</v>
      </c>
      <c r="K229" s="9" t="n">
        <v>96.69</v>
      </c>
    </row>
    <row r="230">
      <c r="A230" s="2" t="n">
        <v>45599</v>
      </c>
      <c r="B230" s="3" t="inlineStr">
        <is>
          <t>2024-11</t>
        </is>
      </c>
      <c r="C230" s="3" t="inlineStr">
        <is>
          <t>Savings</t>
        </is>
      </c>
      <c r="D230" s="4" t="n">
        <v>6349.71</v>
      </c>
      <c r="E230" s="4" t="n">
        <v>60500</v>
      </c>
      <c r="F230" s="4" t="n">
        <v>6000</v>
      </c>
      <c r="G230" s="3" t="inlineStr">
        <is>
          <t>Cash</t>
        </is>
      </c>
      <c r="H230" s="3" t="n">
        <v>2024</v>
      </c>
      <c r="I230" s="3" t="inlineStr">
        <is>
          <t>Q4</t>
        </is>
      </c>
      <c r="J230" s="4" t="n">
        <v>-349.71</v>
      </c>
      <c r="K230" s="5" t="n">
        <v>89.5</v>
      </c>
    </row>
    <row r="231">
      <c r="A231" s="6" t="n">
        <v>45614</v>
      </c>
      <c r="B231" s="7" t="inlineStr">
        <is>
          <t>2024-11</t>
        </is>
      </c>
      <c r="C231" s="7" t="inlineStr">
        <is>
          <t>Miscellaneous</t>
        </is>
      </c>
      <c r="D231" s="8" t="n">
        <v>1940.82</v>
      </c>
      <c r="E231" s="8" t="n">
        <v>60500</v>
      </c>
      <c r="F231" s="8" t="n">
        <v>1500</v>
      </c>
      <c r="G231" s="7" t="inlineStr">
        <is>
          <t>Credit Card</t>
        </is>
      </c>
      <c r="H231" s="7" t="n">
        <v>2024</v>
      </c>
      <c r="I231" s="7" t="inlineStr">
        <is>
          <t>Q4</t>
        </is>
      </c>
      <c r="J231" s="8" t="n">
        <v>-440.82</v>
      </c>
      <c r="K231" s="9" t="n">
        <v>96.79000000000001</v>
      </c>
    </row>
    <row r="232">
      <c r="A232" s="2" t="n">
        <v>45634</v>
      </c>
      <c r="B232" s="3" t="inlineStr">
        <is>
          <t>2024-12</t>
        </is>
      </c>
      <c r="C232" s="3" t="inlineStr">
        <is>
          <t>Housing</t>
        </is>
      </c>
      <c r="D232" s="4" t="n">
        <v>13187.16</v>
      </c>
      <c r="E232" s="4" t="n">
        <v>60500</v>
      </c>
      <c r="F232" s="4" t="n">
        <v>12500</v>
      </c>
      <c r="G232" s="3" t="inlineStr">
        <is>
          <t>Cash</t>
        </is>
      </c>
      <c r="H232" s="3" t="n">
        <v>2024</v>
      </c>
      <c r="I232" s="3" t="inlineStr">
        <is>
          <t>Q4</t>
        </is>
      </c>
      <c r="J232" s="4" t="n">
        <v>-687.1599999999999</v>
      </c>
      <c r="K232" s="5" t="n">
        <v>78.2</v>
      </c>
    </row>
    <row r="233">
      <c r="A233" s="6" t="n">
        <v>45638</v>
      </c>
      <c r="B233" s="7" t="inlineStr">
        <is>
          <t>2024-12</t>
        </is>
      </c>
      <c r="C233" s="7" t="inlineStr">
        <is>
          <t>Food</t>
        </is>
      </c>
      <c r="D233" s="8" t="n">
        <v>8489.530000000001</v>
      </c>
      <c r="E233" s="8" t="n">
        <v>60500</v>
      </c>
      <c r="F233" s="8" t="n">
        <v>6000</v>
      </c>
      <c r="G233" s="7" t="inlineStr">
        <is>
          <t>Credit Card</t>
        </is>
      </c>
      <c r="H233" s="7" t="n">
        <v>2024</v>
      </c>
      <c r="I233" s="7" t="inlineStr">
        <is>
          <t>Q4</t>
        </is>
      </c>
      <c r="J233" s="8" t="n">
        <v>-2489.530000000001</v>
      </c>
      <c r="K233" s="9" t="n">
        <v>85.97</v>
      </c>
    </row>
    <row r="234">
      <c r="A234" s="2" t="n">
        <v>45652</v>
      </c>
      <c r="B234" s="3" t="inlineStr">
        <is>
          <t>2024-12</t>
        </is>
      </c>
      <c r="C234" s="3" t="inlineStr">
        <is>
          <t>Transport</t>
        </is>
      </c>
      <c r="D234" s="4" t="n">
        <v>2674.63</v>
      </c>
      <c r="E234" s="4" t="n">
        <v>60500</v>
      </c>
      <c r="F234" s="4" t="n">
        <v>3000</v>
      </c>
      <c r="G234" s="3" t="inlineStr">
        <is>
          <t>Cash</t>
        </is>
      </c>
      <c r="H234" s="3" t="n">
        <v>2024</v>
      </c>
      <c r="I234" s="3" t="inlineStr">
        <is>
          <t>Q4</t>
        </is>
      </c>
      <c r="J234" s="4" t="n">
        <v>325.3699999999999</v>
      </c>
      <c r="K234" s="5" t="n">
        <v>95.58</v>
      </c>
    </row>
    <row r="235">
      <c r="A235" s="6" t="n">
        <v>45653</v>
      </c>
      <c r="B235" s="7" t="inlineStr">
        <is>
          <t>2024-12</t>
        </is>
      </c>
      <c r="C235" s="7" t="inlineStr">
        <is>
          <t>Healthcare</t>
        </is>
      </c>
      <c r="D235" s="8" t="n">
        <v>693.76</v>
      </c>
      <c r="E235" s="8" t="n">
        <v>60500</v>
      </c>
      <c r="F235" s="8" t="n">
        <v>2000</v>
      </c>
      <c r="G235" s="7" t="inlineStr">
        <is>
          <t>Debit Card</t>
        </is>
      </c>
      <c r="H235" s="7" t="n">
        <v>2024</v>
      </c>
      <c r="I235" s="7" t="inlineStr">
        <is>
          <t>Q4</t>
        </is>
      </c>
      <c r="J235" s="8" t="n">
        <v>1306.24</v>
      </c>
      <c r="K235" s="9" t="n">
        <v>98.84999999999999</v>
      </c>
    </row>
    <row r="236">
      <c r="A236" s="2" t="n">
        <v>45627</v>
      </c>
      <c r="B236" s="3" t="inlineStr">
        <is>
          <t>2024-12</t>
        </is>
      </c>
      <c r="C236" s="3" t="inlineStr">
        <is>
          <t>Entertainment</t>
        </is>
      </c>
      <c r="D236" s="4" t="n">
        <v>2894.38</v>
      </c>
      <c r="E236" s="4" t="n">
        <v>60500</v>
      </c>
      <c r="F236" s="4" t="n">
        <v>2000</v>
      </c>
      <c r="G236" s="3" t="inlineStr">
        <is>
          <t>Credit Card</t>
        </is>
      </c>
      <c r="H236" s="3" t="n">
        <v>2024</v>
      </c>
      <c r="I236" s="3" t="inlineStr">
        <is>
          <t>Q4</t>
        </is>
      </c>
      <c r="J236" s="4" t="n">
        <v>-894.3800000000001</v>
      </c>
      <c r="K236" s="5" t="n">
        <v>95.22</v>
      </c>
    </row>
    <row r="237">
      <c r="A237" s="6" t="n">
        <v>45647</v>
      </c>
      <c r="B237" s="7" t="inlineStr">
        <is>
          <t>2024-12</t>
        </is>
      </c>
      <c r="C237" s="7" t="inlineStr">
        <is>
          <t>Education</t>
        </is>
      </c>
      <c r="D237" s="8" t="n">
        <v>2050.95</v>
      </c>
      <c r="E237" s="8" t="n">
        <v>60500</v>
      </c>
      <c r="F237" s="8" t="n">
        <v>2500</v>
      </c>
      <c r="G237" s="7" t="inlineStr">
        <is>
          <t>Credit Card</t>
        </is>
      </c>
      <c r="H237" s="7" t="n">
        <v>2024</v>
      </c>
      <c r="I237" s="7" t="inlineStr">
        <is>
          <t>Q4</t>
        </is>
      </c>
      <c r="J237" s="8" t="n">
        <v>449.0500000000002</v>
      </c>
      <c r="K237" s="9" t="n">
        <v>96.61</v>
      </c>
    </row>
    <row r="238">
      <c r="A238" s="2" t="n">
        <v>45637</v>
      </c>
      <c r="B238" s="3" t="inlineStr">
        <is>
          <t>2024-12</t>
        </is>
      </c>
      <c r="C238" s="3" t="inlineStr">
        <is>
          <t>Shopping</t>
        </is>
      </c>
      <c r="D238" s="4" t="n">
        <v>3819.23</v>
      </c>
      <c r="E238" s="4" t="n">
        <v>60500</v>
      </c>
      <c r="F238" s="4" t="n">
        <v>3500</v>
      </c>
      <c r="G238" s="3" t="inlineStr">
        <is>
          <t>Credit Card</t>
        </is>
      </c>
      <c r="H238" s="3" t="n">
        <v>2024</v>
      </c>
      <c r="I238" s="3" t="inlineStr">
        <is>
          <t>Q4</t>
        </is>
      </c>
      <c r="J238" s="4" t="n">
        <v>-319.23</v>
      </c>
      <c r="K238" s="5" t="n">
        <v>93.69</v>
      </c>
    </row>
    <row r="239">
      <c r="A239" s="6" t="n">
        <v>45656</v>
      </c>
      <c r="B239" s="7" t="inlineStr">
        <is>
          <t>2024-12</t>
        </is>
      </c>
      <c r="C239" s="7" t="inlineStr">
        <is>
          <t>Utilities</t>
        </is>
      </c>
      <c r="D239" s="8" t="n">
        <v>2053.86</v>
      </c>
      <c r="E239" s="8" t="n">
        <v>60500</v>
      </c>
      <c r="F239" s="8" t="n">
        <v>2000</v>
      </c>
      <c r="G239" s="7" t="inlineStr">
        <is>
          <t>Credit Card</t>
        </is>
      </c>
      <c r="H239" s="7" t="n">
        <v>2024</v>
      </c>
      <c r="I239" s="7" t="inlineStr">
        <is>
          <t>Q4</t>
        </is>
      </c>
      <c r="J239" s="8" t="n">
        <v>-53.86000000000013</v>
      </c>
      <c r="K239" s="9" t="n">
        <v>96.61</v>
      </c>
    </row>
    <row r="240">
      <c r="A240" s="2" t="n">
        <v>45630</v>
      </c>
      <c r="B240" s="3" t="inlineStr">
        <is>
          <t>2024-12</t>
        </is>
      </c>
      <c r="C240" s="3" t="inlineStr">
        <is>
          <t>Savings</t>
        </is>
      </c>
      <c r="D240" s="4" t="n">
        <v>2997.79</v>
      </c>
      <c r="E240" s="4" t="n">
        <v>60500</v>
      </c>
      <c r="F240" s="4" t="n">
        <v>6000</v>
      </c>
      <c r="G240" s="3" t="inlineStr">
        <is>
          <t>Net Banking</t>
        </is>
      </c>
      <c r="H240" s="3" t="n">
        <v>2024</v>
      </c>
      <c r="I240" s="3" t="inlineStr">
        <is>
          <t>Q4</t>
        </is>
      </c>
      <c r="J240" s="4" t="n">
        <v>3002.21</v>
      </c>
      <c r="K240" s="5" t="n">
        <v>95.04000000000001</v>
      </c>
    </row>
    <row r="241">
      <c r="A241" s="6" t="n">
        <v>45632</v>
      </c>
      <c r="B241" s="7" t="inlineStr">
        <is>
          <t>2024-12</t>
        </is>
      </c>
      <c r="C241" s="7" t="inlineStr">
        <is>
          <t>Miscellaneous</t>
        </is>
      </c>
      <c r="D241" s="8" t="n">
        <v>1842.32</v>
      </c>
      <c r="E241" s="8" t="n">
        <v>60500</v>
      </c>
      <c r="F241" s="8" t="n">
        <v>1500</v>
      </c>
      <c r="G241" s="7" t="inlineStr">
        <is>
          <t>Debit Card</t>
        </is>
      </c>
      <c r="H241" s="7" t="n">
        <v>2024</v>
      </c>
      <c r="I241" s="7" t="inlineStr">
        <is>
          <t>Q4</t>
        </is>
      </c>
      <c r="J241" s="8" t="n">
        <v>-342.3199999999999</v>
      </c>
      <c r="K241" s="9" t="n">
        <v>96.95</v>
      </c>
    </row>
  </sheetData>
  <autoFilter ref="A1:K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Income</t>
        </is>
      </c>
      <c r="C1" s="1" t="inlineStr">
        <is>
          <t>Total_Expense</t>
        </is>
      </c>
      <c r="D1" s="1" t="inlineStr">
        <is>
          <t>Savings</t>
        </is>
      </c>
      <c r="E1" s="1" t="inlineStr">
        <is>
          <t>Savings_Rate (%)</t>
        </is>
      </c>
    </row>
    <row r="2">
      <c r="A2" s="10" t="inlineStr">
        <is>
          <t>2023-01</t>
        </is>
      </c>
      <c r="B2" s="11" t="n">
        <v>54874.54</v>
      </c>
      <c r="C2" s="11" t="n">
        <v>38886.4</v>
      </c>
      <c r="D2" s="12" t="n">
        <v>15988.14</v>
      </c>
      <c r="E2" s="13" t="n">
        <v>29.14</v>
      </c>
    </row>
    <row r="3">
      <c r="A3" s="14" t="inlineStr">
        <is>
          <t>2023-02</t>
        </is>
      </c>
      <c r="B3" s="15" t="n">
        <v>54966.75999999999</v>
      </c>
      <c r="C3" s="15" t="n">
        <v>43861.46</v>
      </c>
      <c r="D3" s="12" t="n">
        <v>11105.3</v>
      </c>
      <c r="E3" s="13" t="n">
        <v>20.2</v>
      </c>
    </row>
    <row r="4">
      <c r="A4" s="10" t="inlineStr">
        <is>
          <t>2023-03</t>
        </is>
      </c>
      <c r="B4" s="11" t="n">
        <v>54825.33</v>
      </c>
      <c r="C4" s="11" t="n">
        <v>40493.41</v>
      </c>
      <c r="D4" s="12" t="n">
        <v>14331.92000000001</v>
      </c>
      <c r="E4" s="13" t="n">
        <v>26.14</v>
      </c>
    </row>
    <row r="5">
      <c r="A5" s="14" t="inlineStr">
        <is>
          <t>2023-04</t>
        </is>
      </c>
      <c r="B5" s="15" t="n">
        <v>54825.18000000001</v>
      </c>
      <c r="C5" s="15" t="n">
        <v>39748.24</v>
      </c>
      <c r="D5" s="12" t="n">
        <v>15076.94000000001</v>
      </c>
      <c r="E5" s="13" t="n">
        <v>27.5</v>
      </c>
    </row>
    <row r="6">
      <c r="A6" s="10" t="inlineStr">
        <is>
          <t>2023-05</t>
        </is>
      </c>
      <c r="B6" s="11" t="n">
        <v>55380.46999999999</v>
      </c>
      <c r="C6" s="11" t="n">
        <v>41870.95</v>
      </c>
      <c r="D6" s="12" t="n">
        <v>13509.52</v>
      </c>
      <c r="E6" s="13" t="n">
        <v>24.39</v>
      </c>
    </row>
    <row r="7">
      <c r="A7" s="14" t="inlineStr">
        <is>
          <t>2023-06</t>
        </is>
      </c>
      <c r="B7" s="15" t="n">
        <v>54863.62999999999</v>
      </c>
      <c r="C7" s="15" t="n">
        <v>43779.33</v>
      </c>
      <c r="D7" s="12" t="n">
        <v>11084.29999999999</v>
      </c>
      <c r="E7" s="13" t="n">
        <v>20.2</v>
      </c>
    </row>
    <row r="8">
      <c r="A8" s="10" t="inlineStr">
        <is>
          <t>2023-07</t>
        </is>
      </c>
      <c r="B8" s="11" t="n">
        <v>55195.81</v>
      </c>
      <c r="C8" s="11" t="n">
        <v>42269.59</v>
      </c>
      <c r="D8" s="12" t="n">
        <v>12926.21999999999</v>
      </c>
      <c r="E8" s="13" t="n">
        <v>23.42</v>
      </c>
    </row>
    <row r="9">
      <c r="A9" s="14" t="inlineStr">
        <is>
          <t>2023-08</t>
        </is>
      </c>
      <c r="B9" s="15" t="n">
        <v>54778.87000000001</v>
      </c>
      <c r="C9" s="15" t="n">
        <v>45415.07</v>
      </c>
      <c r="D9" s="12" t="n">
        <v>9363.80000000001</v>
      </c>
      <c r="E9" s="13" t="n">
        <v>17.09</v>
      </c>
    </row>
    <row r="10">
      <c r="A10" s="10" t="inlineStr">
        <is>
          <t>2023-09</t>
        </is>
      </c>
      <c r="B10" s="11" t="n">
        <v>54743.99000000001</v>
      </c>
      <c r="C10" s="11" t="n">
        <v>43885.45</v>
      </c>
      <c r="D10" s="12" t="n">
        <v>10858.54000000001</v>
      </c>
      <c r="E10" s="13" t="n">
        <v>19.84</v>
      </c>
    </row>
    <row r="11">
      <c r="A11" s="14" t="inlineStr">
        <is>
          <t>2023-10</t>
        </is>
      </c>
      <c r="B11" s="15" t="n">
        <v>54669.49000000001</v>
      </c>
      <c r="C11" s="15" t="n">
        <v>42197.38</v>
      </c>
      <c r="D11" s="12" t="n">
        <v>12472.11000000001</v>
      </c>
      <c r="E11" s="13" t="n">
        <v>22.81</v>
      </c>
    </row>
    <row r="12">
      <c r="A12" s="10" t="inlineStr">
        <is>
          <t>2023-11</t>
        </is>
      </c>
      <c r="B12" s="11" t="n">
        <v>55078.28000000001</v>
      </c>
      <c r="C12" s="11" t="n">
        <v>37907.26</v>
      </c>
      <c r="D12" s="12" t="n">
        <v>17171.02</v>
      </c>
      <c r="E12" s="13" t="n">
        <v>31.18</v>
      </c>
    </row>
    <row r="13">
      <c r="A13" s="14" t="inlineStr">
        <is>
          <t>2023-12</t>
        </is>
      </c>
      <c r="B13" s="15" t="n">
        <v>54684.33</v>
      </c>
      <c r="C13" s="15" t="n">
        <v>41154</v>
      </c>
      <c r="D13" s="12" t="n">
        <v>13530.33</v>
      </c>
      <c r="E13" s="13" t="n">
        <v>24.74</v>
      </c>
    </row>
    <row r="14">
      <c r="A14" s="10" t="inlineStr">
        <is>
          <t>2024-01</t>
        </is>
      </c>
      <c r="B14" s="11" t="n">
        <v>54973.46999999999</v>
      </c>
      <c r="C14" s="11" t="n">
        <v>42359.83</v>
      </c>
      <c r="D14" s="12" t="n">
        <v>12613.63999999999</v>
      </c>
      <c r="E14" s="13" t="n">
        <v>22.94</v>
      </c>
    </row>
    <row r="15">
      <c r="A15" s="14" t="inlineStr">
        <is>
          <t>2024-02</t>
        </is>
      </c>
      <c r="B15" s="15" t="n">
        <v>54706.68000000001</v>
      </c>
      <c r="C15" s="15" t="n">
        <v>40624.81</v>
      </c>
      <c r="D15" s="12" t="n">
        <v>14081.87000000001</v>
      </c>
      <c r="E15" s="13" t="n">
        <v>25.74</v>
      </c>
    </row>
    <row r="16">
      <c r="A16" s="10" t="inlineStr">
        <is>
          <t>2024-03</t>
        </is>
      </c>
      <c r="B16" s="11" t="n">
        <v>55080.54</v>
      </c>
      <c r="C16" s="11" t="n">
        <v>42283.01</v>
      </c>
      <c r="D16" s="12" t="n">
        <v>12797.53</v>
      </c>
      <c r="E16" s="13" t="n">
        <v>23.23</v>
      </c>
    </row>
    <row r="17">
      <c r="A17" s="14" t="inlineStr">
        <is>
          <t>2024-04</t>
        </is>
      </c>
      <c r="B17" s="15" t="n">
        <v>54613.46</v>
      </c>
      <c r="C17" s="15" t="n">
        <v>44677.39</v>
      </c>
      <c r="D17" s="12" t="n">
        <v>9936.07</v>
      </c>
      <c r="E17" s="13" t="n">
        <v>18.19</v>
      </c>
    </row>
    <row r="18">
      <c r="A18" s="10" t="inlineStr">
        <is>
          <t>2024-05</t>
        </is>
      </c>
      <c r="B18" s="11" t="n">
        <v>54748.71999999999</v>
      </c>
      <c r="C18" s="11" t="n">
        <v>40194.9</v>
      </c>
      <c r="D18" s="12" t="n">
        <v>14553.81999999999</v>
      </c>
      <c r="E18" s="13" t="n">
        <v>26.58</v>
      </c>
    </row>
    <row r="19">
      <c r="A19" s="14" t="inlineStr">
        <is>
          <t>2024-06</t>
        </is>
      </c>
      <c r="B19" s="15" t="n">
        <v>54716.81</v>
      </c>
      <c r="C19" s="15" t="n">
        <v>41591.17</v>
      </c>
      <c r="D19" s="12" t="n">
        <v>13125.64</v>
      </c>
      <c r="E19" s="13" t="n">
        <v>23.99</v>
      </c>
    </row>
    <row r="20">
      <c r="A20" s="10" t="inlineStr">
        <is>
          <t>2024-07</t>
        </is>
      </c>
      <c r="B20" s="11" t="n">
        <v>60500</v>
      </c>
      <c r="C20" s="11" t="n">
        <v>47181.98</v>
      </c>
      <c r="D20" s="12" t="n">
        <v>13318.02</v>
      </c>
      <c r="E20" s="13" t="n">
        <v>22.01</v>
      </c>
    </row>
    <row r="21">
      <c r="A21" s="14" t="inlineStr">
        <is>
          <t>2024-08</t>
        </is>
      </c>
      <c r="B21" s="15" t="n">
        <v>60500</v>
      </c>
      <c r="C21" s="15" t="n">
        <v>43530.16</v>
      </c>
      <c r="D21" s="12" t="n">
        <v>16969.84</v>
      </c>
      <c r="E21" s="13" t="n">
        <v>28.05</v>
      </c>
    </row>
    <row r="22">
      <c r="A22" s="10" t="inlineStr">
        <is>
          <t>2024-09</t>
        </is>
      </c>
      <c r="B22" s="11" t="n">
        <v>60500</v>
      </c>
      <c r="C22" s="11" t="n">
        <v>40152.51</v>
      </c>
      <c r="D22" s="12" t="n">
        <v>20347.49</v>
      </c>
      <c r="E22" s="13" t="n">
        <v>33.63</v>
      </c>
    </row>
    <row r="23">
      <c r="A23" s="14" t="inlineStr">
        <is>
          <t>2024-10</t>
        </is>
      </c>
      <c r="B23" s="15" t="n">
        <v>60500</v>
      </c>
      <c r="C23" s="15" t="n">
        <v>37869.81</v>
      </c>
      <c r="D23" s="12" t="n">
        <v>22630.19</v>
      </c>
      <c r="E23" s="13" t="n">
        <v>37.41</v>
      </c>
    </row>
    <row r="24">
      <c r="A24" s="10" t="inlineStr">
        <is>
          <t>2024-11</t>
        </is>
      </c>
      <c r="B24" s="11" t="n">
        <v>60500</v>
      </c>
      <c r="C24" s="11" t="n">
        <v>40039.18</v>
      </c>
      <c r="D24" s="12" t="n">
        <v>20460.82</v>
      </c>
      <c r="E24" s="13" t="n">
        <v>33.82</v>
      </c>
    </row>
    <row r="25">
      <c r="A25" s="14" t="inlineStr">
        <is>
          <t>2024-12</t>
        </is>
      </c>
      <c r="B25" s="15" t="n">
        <v>60500</v>
      </c>
      <c r="C25" s="15" t="n">
        <v>40703.61</v>
      </c>
      <c r="D25" s="12" t="n">
        <v>19796.39</v>
      </c>
      <c r="E25" s="13" t="n">
        <v>32.72</v>
      </c>
    </row>
    <row r="26">
      <c r="A26" s="16" t="inlineStr">
        <is>
          <t>TOTAL / AVG</t>
        </is>
      </c>
      <c r="B26" s="17">
        <f>SUM(B2:B25)</f>
        <v/>
      </c>
      <c r="C26" s="17">
        <f>SUM(C2:C25)</f>
        <v/>
      </c>
      <c r="D26" s="17">
        <f>SUM(D2:D25)</f>
        <v/>
      </c>
      <c r="E26" s="18">
        <f>AVERAGE(E2:E25)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Total Spent</t>
        </is>
      </c>
      <c r="C1" s="1" t="inlineStr">
        <is>
          <t>Avg Monthly</t>
        </is>
      </c>
      <c r="D1" s="1" t="inlineStr">
        <is>
          <t>Budget</t>
        </is>
      </c>
      <c r="E1" s="1" t="inlineStr">
        <is>
          <t>Variance</t>
        </is>
      </c>
      <c r="F1" s="1" t="inlineStr">
        <is>
          <t>% of Total</t>
        </is>
      </c>
      <c r="G1" s="1" t="inlineStr">
        <is>
          <t>Transactions</t>
        </is>
      </c>
      <c r="H1" s="1" t="inlineStr">
        <is>
          <t>Status</t>
        </is>
      </c>
    </row>
    <row r="2">
      <c r="A2" s="3" t="inlineStr">
        <is>
          <t>Housing</t>
        </is>
      </c>
      <c r="B2" s="11" t="n">
        <v>287230.68</v>
      </c>
      <c r="C2" s="11" t="n">
        <v>11967.945</v>
      </c>
      <c r="D2" s="11" t="n">
        <v>12500</v>
      </c>
      <c r="E2" s="12" t="n">
        <v>532.0550000000003</v>
      </c>
      <c r="F2" s="19" t="n">
        <v>28.65</v>
      </c>
      <c r="G2" s="10" t="n">
        <v>24</v>
      </c>
      <c r="H2" s="20" t="inlineStr">
        <is>
          <t>✅ Under Budget</t>
        </is>
      </c>
    </row>
    <row r="3">
      <c r="A3" s="7" t="inlineStr">
        <is>
          <t>Food</t>
        </is>
      </c>
      <c r="B3" s="15" t="n">
        <v>168936.81</v>
      </c>
      <c r="C3" s="15" t="n">
        <v>7039.03375</v>
      </c>
      <c r="D3" s="15" t="n">
        <v>6000</v>
      </c>
      <c r="E3" s="21" t="n">
        <v>-1039.03375</v>
      </c>
      <c r="F3" s="22" t="n">
        <v>16.85</v>
      </c>
      <c r="G3" s="14" t="n">
        <v>24</v>
      </c>
      <c r="H3" s="23" t="inlineStr">
        <is>
          <t>⚠️ Over Budget</t>
        </is>
      </c>
    </row>
    <row r="4">
      <c r="A4" s="3" t="inlineStr">
        <is>
          <t>Savings</t>
        </is>
      </c>
      <c r="B4" s="11" t="n">
        <v>125249.91</v>
      </c>
      <c r="C4" s="11" t="n">
        <v>5218.74625</v>
      </c>
      <c r="D4" s="11" t="n">
        <v>6000</v>
      </c>
      <c r="E4" s="12" t="n">
        <v>781.2537499999999</v>
      </c>
      <c r="F4" s="19" t="n">
        <v>12.49</v>
      </c>
      <c r="G4" s="10" t="n">
        <v>24</v>
      </c>
      <c r="H4" s="20" t="inlineStr">
        <is>
          <t>✅ Under Budget</t>
        </is>
      </c>
    </row>
    <row r="5">
      <c r="A5" s="7" t="inlineStr">
        <is>
          <t>Shopping</t>
        </is>
      </c>
      <c r="B5" s="15" t="n">
        <v>97171.87</v>
      </c>
      <c r="C5" s="15" t="n">
        <v>4048.827916666667</v>
      </c>
      <c r="D5" s="15" t="n">
        <v>3500</v>
      </c>
      <c r="E5" s="21" t="n">
        <v>-548.8279166666666</v>
      </c>
      <c r="F5" s="22" t="n">
        <v>9.69</v>
      </c>
      <c r="G5" s="14" t="n">
        <v>24</v>
      </c>
      <c r="H5" s="23" t="inlineStr">
        <is>
          <t>⚠️ Over Budget</t>
        </is>
      </c>
    </row>
    <row r="6">
      <c r="A6" s="3" t="inlineStr">
        <is>
          <t>Transport</t>
        </is>
      </c>
      <c r="B6" s="11" t="n">
        <v>77788.62</v>
      </c>
      <c r="C6" s="11" t="n">
        <v>3241.1925</v>
      </c>
      <c r="D6" s="11" t="n">
        <v>3000</v>
      </c>
      <c r="E6" s="21" t="n">
        <v>-241.1924999999997</v>
      </c>
      <c r="F6" s="19" t="n">
        <v>7.76</v>
      </c>
      <c r="G6" s="10" t="n">
        <v>24</v>
      </c>
      <c r="H6" s="23" t="inlineStr">
        <is>
          <t>⚠️ Over Budget</t>
        </is>
      </c>
    </row>
    <row r="7">
      <c r="A7" s="7" t="inlineStr">
        <is>
          <t>Entertainment</t>
        </is>
      </c>
      <c r="B7" s="15" t="n">
        <v>59165.3</v>
      </c>
      <c r="C7" s="15" t="n">
        <v>2465.220833333333</v>
      </c>
      <c r="D7" s="15" t="n">
        <v>2000</v>
      </c>
      <c r="E7" s="21" t="n">
        <v>-465.2208333333333</v>
      </c>
      <c r="F7" s="22" t="n">
        <v>5.9</v>
      </c>
      <c r="G7" s="14" t="n">
        <v>24</v>
      </c>
      <c r="H7" s="23" t="inlineStr">
        <is>
          <t>⚠️ Over Budget</t>
        </is>
      </c>
    </row>
    <row r="8">
      <c r="A8" s="3" t="inlineStr">
        <is>
          <t>Utilities</t>
        </is>
      </c>
      <c r="B8" s="11" t="n">
        <v>53196.48</v>
      </c>
      <c r="C8" s="11" t="n">
        <v>2216.52</v>
      </c>
      <c r="D8" s="11" t="n">
        <v>2000</v>
      </c>
      <c r="E8" s="21" t="n">
        <v>-216.52</v>
      </c>
      <c r="F8" s="19" t="n">
        <v>5.31</v>
      </c>
      <c r="G8" s="10" t="n">
        <v>24</v>
      </c>
      <c r="H8" s="23" t="inlineStr">
        <is>
          <t>⚠️ Over Budget</t>
        </is>
      </c>
    </row>
    <row r="9">
      <c r="A9" s="7" t="inlineStr">
        <is>
          <t>Education</t>
        </is>
      </c>
      <c r="B9" s="15" t="n">
        <v>49905.77</v>
      </c>
      <c r="C9" s="15" t="n">
        <v>2079.407083333334</v>
      </c>
      <c r="D9" s="15" t="n">
        <v>2500</v>
      </c>
      <c r="E9" s="12" t="n">
        <v>420.5929166666665</v>
      </c>
      <c r="F9" s="22" t="n">
        <v>4.98</v>
      </c>
      <c r="G9" s="14" t="n">
        <v>24</v>
      </c>
      <c r="H9" s="20" t="inlineStr">
        <is>
          <t>✅ Under Budget</t>
        </is>
      </c>
    </row>
    <row r="10">
      <c r="A10" s="3" t="inlineStr">
        <is>
          <t>Healthcare</t>
        </is>
      </c>
      <c r="B10" s="11" t="n">
        <v>42161.5</v>
      </c>
      <c r="C10" s="11" t="n">
        <v>1756.729166666667</v>
      </c>
      <c r="D10" s="11" t="n">
        <v>2000</v>
      </c>
      <c r="E10" s="12" t="n">
        <v>243.2708333333333</v>
      </c>
      <c r="F10" s="19" t="n">
        <v>4.2</v>
      </c>
      <c r="G10" s="10" t="n">
        <v>24</v>
      </c>
      <c r="H10" s="20" t="inlineStr">
        <is>
          <t>✅ Under Budget</t>
        </is>
      </c>
    </row>
    <row r="11">
      <c r="A11" s="7" t="inlineStr">
        <is>
          <t>Miscellaneous</t>
        </is>
      </c>
      <c r="B11" s="15" t="n">
        <v>41869.96</v>
      </c>
      <c r="C11" s="15" t="n">
        <v>1744.581666666667</v>
      </c>
      <c r="D11" s="15" t="n">
        <v>1500</v>
      </c>
      <c r="E11" s="21" t="n">
        <v>-244.5816666666667</v>
      </c>
      <c r="F11" s="22" t="n">
        <v>4.18</v>
      </c>
      <c r="G11" s="14" t="n">
        <v>24</v>
      </c>
      <c r="H11" s="23" t="inlineStr">
        <is>
          <t>⚠️ Over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3" customWidth="1" min="5" max="5"/>
    <col width="10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% Used</t>
        </is>
      </c>
      <c r="G1" s="1" t="inlineStr">
        <is>
          <t>Over Budget?</t>
        </is>
      </c>
    </row>
    <row r="2">
      <c r="A2" s="10" t="inlineStr">
        <is>
          <t>2023-01</t>
        </is>
      </c>
      <c r="B2" s="3" t="inlineStr">
        <is>
          <t>Education</t>
        </is>
      </c>
      <c r="C2" s="11" t="n">
        <v>2500</v>
      </c>
      <c r="D2" s="11" t="n">
        <v>1789.93</v>
      </c>
      <c r="E2" s="12" t="n">
        <v>710.0699999999999</v>
      </c>
      <c r="F2" s="19" t="n">
        <v>71.59999999999999</v>
      </c>
      <c r="G2" s="20" t="inlineStr">
        <is>
          <t>NO</t>
        </is>
      </c>
    </row>
    <row r="3">
      <c r="A3" s="14" t="inlineStr">
        <is>
          <t>2023-01</t>
        </is>
      </c>
      <c r="B3" s="7" t="inlineStr">
        <is>
          <t>Entertainment</t>
        </is>
      </c>
      <c r="C3" s="15" t="n">
        <v>2000</v>
      </c>
      <c r="D3" s="15" t="n">
        <v>2093.39</v>
      </c>
      <c r="E3" s="21" t="n">
        <v>-93.38999999999987</v>
      </c>
      <c r="F3" s="24" t="n">
        <v>104.67</v>
      </c>
      <c r="G3" s="23" t="inlineStr">
        <is>
          <t>YES</t>
        </is>
      </c>
    </row>
    <row r="4">
      <c r="A4" s="10" t="inlineStr">
        <is>
          <t>2023-01</t>
        </is>
      </c>
      <c r="B4" s="3" t="inlineStr">
        <is>
          <t>Food</t>
        </is>
      </c>
      <c r="C4" s="11" t="n">
        <v>6000</v>
      </c>
      <c r="D4" s="11" t="n">
        <v>6818.9</v>
      </c>
      <c r="E4" s="21" t="n">
        <v>-818.8999999999996</v>
      </c>
      <c r="F4" s="24" t="n">
        <v>113.65</v>
      </c>
      <c r="G4" s="23" t="inlineStr">
        <is>
          <t>YES</t>
        </is>
      </c>
    </row>
    <row r="5">
      <c r="A5" s="14" t="inlineStr">
        <is>
          <t>2023-01</t>
        </is>
      </c>
      <c r="B5" s="7" t="inlineStr">
        <is>
          <t>Healthcare</t>
        </is>
      </c>
      <c r="C5" s="15" t="n">
        <v>2000</v>
      </c>
      <c r="D5" s="15" t="n">
        <v>2413.95</v>
      </c>
      <c r="E5" s="21" t="n">
        <v>-413.9499999999998</v>
      </c>
      <c r="F5" s="24" t="n">
        <v>120.7</v>
      </c>
      <c r="G5" s="23" t="inlineStr">
        <is>
          <t>YES</t>
        </is>
      </c>
    </row>
    <row r="6">
      <c r="A6" s="10" t="inlineStr">
        <is>
          <t>2023-01</t>
        </is>
      </c>
      <c r="B6" s="3" t="inlineStr">
        <is>
          <t>Housing</t>
        </is>
      </c>
      <c r="C6" s="11" t="n">
        <v>12500</v>
      </c>
      <c r="D6" s="11" t="n">
        <v>11444.06</v>
      </c>
      <c r="E6" s="12" t="n">
        <v>1055.940000000001</v>
      </c>
      <c r="F6" s="19" t="n">
        <v>91.55</v>
      </c>
      <c r="G6" s="20" t="inlineStr">
        <is>
          <t>NO</t>
        </is>
      </c>
    </row>
    <row r="7">
      <c r="A7" s="14" t="inlineStr">
        <is>
          <t>2023-01</t>
        </is>
      </c>
      <c r="B7" s="7" t="inlineStr">
        <is>
          <t>Miscellaneous</t>
        </is>
      </c>
      <c r="C7" s="15" t="n">
        <v>1500</v>
      </c>
      <c r="D7" s="15" t="n">
        <v>1418.07</v>
      </c>
      <c r="E7" s="12" t="n">
        <v>81.93000000000006</v>
      </c>
      <c r="F7" s="22" t="n">
        <v>94.54000000000001</v>
      </c>
      <c r="G7" s="20" t="inlineStr">
        <is>
          <t>NO</t>
        </is>
      </c>
    </row>
    <row r="8">
      <c r="A8" s="10" t="inlineStr">
        <is>
          <t>2023-01</t>
        </is>
      </c>
      <c r="B8" s="3" t="inlineStr">
        <is>
          <t>Savings</t>
        </is>
      </c>
      <c r="C8" s="11" t="n">
        <v>6000</v>
      </c>
      <c r="D8" s="11" t="n">
        <v>4799.16</v>
      </c>
      <c r="E8" s="12" t="n">
        <v>1200.84</v>
      </c>
      <c r="F8" s="19" t="n">
        <v>79.98999999999999</v>
      </c>
      <c r="G8" s="20" t="inlineStr">
        <is>
          <t>NO</t>
        </is>
      </c>
    </row>
    <row r="9">
      <c r="A9" s="14" t="inlineStr">
        <is>
          <t>2023-01</t>
        </is>
      </c>
      <c r="B9" s="7" t="inlineStr">
        <is>
          <t>Shopping</t>
        </is>
      </c>
      <c r="C9" s="15" t="n">
        <v>3500</v>
      </c>
      <c r="D9" s="15" t="n">
        <v>1930.1</v>
      </c>
      <c r="E9" s="12" t="n">
        <v>1569.9</v>
      </c>
      <c r="F9" s="22" t="n">
        <v>55.15</v>
      </c>
      <c r="G9" s="20" t="inlineStr">
        <is>
          <t>NO</t>
        </is>
      </c>
    </row>
    <row r="10">
      <c r="A10" s="10" t="inlineStr">
        <is>
          <t>2023-01</t>
        </is>
      </c>
      <c r="B10" s="3" t="inlineStr">
        <is>
          <t>Transport</t>
        </is>
      </c>
      <c r="C10" s="11" t="n">
        <v>3000</v>
      </c>
      <c r="D10" s="11" t="n">
        <v>4147.53</v>
      </c>
      <c r="E10" s="21" t="n">
        <v>-1147.53</v>
      </c>
      <c r="F10" s="24" t="n">
        <v>138.25</v>
      </c>
      <c r="G10" s="23" t="inlineStr">
        <is>
          <t>YES</t>
        </is>
      </c>
    </row>
    <row r="11">
      <c r="A11" s="14" t="inlineStr">
        <is>
          <t>2023-01</t>
        </is>
      </c>
      <c r="B11" s="7" t="inlineStr">
        <is>
          <t>Utilities</t>
        </is>
      </c>
      <c r="C11" s="15" t="n">
        <v>2000</v>
      </c>
      <c r="D11" s="15" t="n">
        <v>2031.31</v>
      </c>
      <c r="E11" s="21" t="n">
        <v>-31.30999999999995</v>
      </c>
      <c r="F11" s="24" t="n">
        <v>101.57</v>
      </c>
      <c r="G11" s="23" t="inlineStr">
        <is>
          <t>YES</t>
        </is>
      </c>
    </row>
    <row r="12">
      <c r="A12" s="10" t="inlineStr">
        <is>
          <t>2023-02</t>
        </is>
      </c>
      <c r="B12" s="3" t="inlineStr">
        <is>
          <t>Education</t>
        </is>
      </c>
      <c r="C12" s="11" t="n">
        <v>2500</v>
      </c>
      <c r="D12" s="11" t="n">
        <v>2632.34</v>
      </c>
      <c r="E12" s="21" t="n">
        <v>-132.3400000000001</v>
      </c>
      <c r="F12" s="24" t="n">
        <v>105.29</v>
      </c>
      <c r="G12" s="23" t="inlineStr">
        <is>
          <t>YES</t>
        </is>
      </c>
    </row>
    <row r="13">
      <c r="A13" s="14" t="inlineStr">
        <is>
          <t>2023-02</t>
        </is>
      </c>
      <c r="B13" s="7" t="inlineStr">
        <is>
          <t>Entertainment</t>
        </is>
      </c>
      <c r="C13" s="15" t="n">
        <v>2000</v>
      </c>
      <c r="D13" s="15" t="n">
        <v>3164.19</v>
      </c>
      <c r="E13" s="21" t="n">
        <v>-1164.19</v>
      </c>
      <c r="F13" s="24" t="n">
        <v>158.21</v>
      </c>
      <c r="G13" s="23" t="inlineStr">
        <is>
          <t>YES</t>
        </is>
      </c>
    </row>
    <row r="14">
      <c r="A14" s="10" t="inlineStr">
        <is>
          <t>2023-02</t>
        </is>
      </c>
      <c r="B14" s="3" t="inlineStr">
        <is>
          <t>Food</t>
        </is>
      </c>
      <c r="C14" s="11" t="n">
        <v>6000</v>
      </c>
      <c r="D14" s="11" t="n">
        <v>7332.46</v>
      </c>
      <c r="E14" s="21" t="n">
        <v>-1332.46</v>
      </c>
      <c r="F14" s="24" t="n">
        <v>122.21</v>
      </c>
      <c r="G14" s="23" t="inlineStr">
        <is>
          <t>YES</t>
        </is>
      </c>
    </row>
    <row r="15">
      <c r="A15" s="14" t="inlineStr">
        <is>
          <t>2023-02</t>
        </is>
      </c>
      <c r="B15" s="7" t="inlineStr">
        <is>
          <t>Healthcare</t>
        </is>
      </c>
      <c r="C15" s="15" t="n">
        <v>2000</v>
      </c>
      <c r="D15" s="15" t="n">
        <v>2695.54</v>
      </c>
      <c r="E15" s="21" t="n">
        <v>-695.54</v>
      </c>
      <c r="F15" s="24" t="n">
        <v>134.78</v>
      </c>
      <c r="G15" s="23" t="inlineStr">
        <is>
          <t>YES</t>
        </is>
      </c>
    </row>
    <row r="16">
      <c r="A16" s="10" t="inlineStr">
        <is>
          <t>2023-02</t>
        </is>
      </c>
      <c r="B16" s="3" t="inlineStr">
        <is>
          <t>Housing</t>
        </is>
      </c>
      <c r="C16" s="11" t="n">
        <v>12500</v>
      </c>
      <c r="D16" s="11" t="n">
        <v>12208.51</v>
      </c>
      <c r="E16" s="12" t="n">
        <v>291.4899999999998</v>
      </c>
      <c r="F16" s="19" t="n">
        <v>97.67</v>
      </c>
      <c r="G16" s="20" t="inlineStr">
        <is>
          <t>NO</t>
        </is>
      </c>
    </row>
    <row r="17">
      <c r="A17" s="14" t="inlineStr">
        <is>
          <t>2023-02</t>
        </is>
      </c>
      <c r="B17" s="7" t="inlineStr">
        <is>
          <t>Miscellaneous</t>
        </is>
      </c>
      <c r="C17" s="15" t="n">
        <v>1500</v>
      </c>
      <c r="D17" s="15" t="n">
        <v>1585.68</v>
      </c>
      <c r="E17" s="21" t="n">
        <v>-85.68000000000006</v>
      </c>
      <c r="F17" s="24" t="n">
        <v>105.71</v>
      </c>
      <c r="G17" s="23" t="inlineStr">
        <is>
          <t>YES</t>
        </is>
      </c>
    </row>
    <row r="18">
      <c r="A18" s="10" t="inlineStr">
        <is>
          <t>2023-02</t>
        </is>
      </c>
      <c r="B18" s="3" t="inlineStr">
        <is>
          <t>Savings</t>
        </is>
      </c>
      <c r="C18" s="11" t="n">
        <v>6000</v>
      </c>
      <c r="D18" s="11" t="n">
        <v>5590.77</v>
      </c>
      <c r="E18" s="12" t="n">
        <v>409.2299999999996</v>
      </c>
      <c r="F18" s="19" t="n">
        <v>93.18000000000001</v>
      </c>
      <c r="G18" s="20" t="inlineStr">
        <is>
          <t>NO</t>
        </is>
      </c>
    </row>
    <row r="19">
      <c r="A19" s="14" t="inlineStr">
        <is>
          <t>2023-02</t>
        </is>
      </c>
      <c r="B19" s="7" t="inlineStr">
        <is>
          <t>Shopping</t>
        </is>
      </c>
      <c r="C19" s="15" t="n">
        <v>3500</v>
      </c>
      <c r="D19" s="15" t="n">
        <v>4679.34</v>
      </c>
      <c r="E19" s="21" t="n">
        <v>-1179.34</v>
      </c>
      <c r="F19" s="24" t="n">
        <v>133.7</v>
      </c>
      <c r="G19" s="23" t="inlineStr">
        <is>
          <t>YES</t>
        </is>
      </c>
    </row>
    <row r="20">
      <c r="A20" s="10" t="inlineStr">
        <is>
          <t>2023-02</t>
        </is>
      </c>
      <c r="B20" s="3" t="inlineStr">
        <is>
          <t>Transport</t>
        </is>
      </c>
      <c r="C20" s="11" t="n">
        <v>3000</v>
      </c>
      <c r="D20" s="11" t="n">
        <v>1983.97</v>
      </c>
      <c r="E20" s="12" t="n">
        <v>1016.03</v>
      </c>
      <c r="F20" s="19" t="n">
        <v>66.13</v>
      </c>
      <c r="G20" s="20" t="inlineStr">
        <is>
          <t>NO</t>
        </is>
      </c>
    </row>
    <row r="21">
      <c r="A21" s="14" t="inlineStr">
        <is>
          <t>2023-02</t>
        </is>
      </c>
      <c r="B21" s="7" t="inlineStr">
        <is>
          <t>Utilities</t>
        </is>
      </c>
      <c r="C21" s="15" t="n">
        <v>2000</v>
      </c>
      <c r="D21" s="15" t="n">
        <v>1988.66</v>
      </c>
      <c r="E21" s="12" t="n">
        <v>11.33999999999992</v>
      </c>
      <c r="F21" s="22" t="n">
        <v>99.43000000000001</v>
      </c>
      <c r="G21" s="20" t="inlineStr">
        <is>
          <t>NO</t>
        </is>
      </c>
    </row>
    <row r="22">
      <c r="A22" s="10" t="inlineStr">
        <is>
          <t>2023-03</t>
        </is>
      </c>
      <c r="B22" s="3" t="inlineStr">
        <is>
          <t>Education</t>
        </is>
      </c>
      <c r="C22" s="11" t="n">
        <v>2500</v>
      </c>
      <c r="D22" s="11" t="n">
        <v>2244.67</v>
      </c>
      <c r="E22" s="12" t="n">
        <v>255.3299999999999</v>
      </c>
      <c r="F22" s="19" t="n">
        <v>89.79000000000001</v>
      </c>
      <c r="G22" s="20" t="inlineStr">
        <is>
          <t>NO</t>
        </is>
      </c>
    </row>
    <row r="23">
      <c r="A23" s="14" t="inlineStr">
        <is>
          <t>2023-03</t>
        </is>
      </c>
      <c r="B23" s="7" t="inlineStr">
        <is>
          <t>Entertainment</t>
        </is>
      </c>
      <c r="C23" s="15" t="n">
        <v>2000</v>
      </c>
      <c r="D23" s="15" t="n">
        <v>2026.15</v>
      </c>
      <c r="E23" s="21" t="n">
        <v>-26.15000000000009</v>
      </c>
      <c r="F23" s="24" t="n">
        <v>101.31</v>
      </c>
      <c r="G23" s="23" t="inlineStr">
        <is>
          <t>YES</t>
        </is>
      </c>
    </row>
    <row r="24">
      <c r="A24" s="10" t="inlineStr">
        <is>
          <t>2023-03</t>
        </is>
      </c>
      <c r="B24" s="3" t="inlineStr">
        <is>
          <t>Food</t>
        </is>
      </c>
      <c r="C24" s="11" t="n">
        <v>6000</v>
      </c>
      <c r="D24" s="11" t="n">
        <v>5780.16</v>
      </c>
      <c r="E24" s="12" t="n">
        <v>219.8400000000001</v>
      </c>
      <c r="F24" s="19" t="n">
        <v>96.34</v>
      </c>
      <c r="G24" s="20" t="inlineStr">
        <is>
          <t>NO</t>
        </is>
      </c>
    </row>
    <row r="25">
      <c r="A25" s="14" t="inlineStr">
        <is>
          <t>2023-03</t>
        </is>
      </c>
      <c r="B25" s="7" t="inlineStr">
        <is>
          <t>Healthcare</t>
        </is>
      </c>
      <c r="C25" s="15" t="n">
        <v>2000</v>
      </c>
      <c r="D25" s="15" t="n">
        <v>1907.54</v>
      </c>
      <c r="E25" s="12" t="n">
        <v>92.46000000000004</v>
      </c>
      <c r="F25" s="22" t="n">
        <v>95.38</v>
      </c>
      <c r="G25" s="20" t="inlineStr">
        <is>
          <t>NO</t>
        </is>
      </c>
    </row>
    <row r="26">
      <c r="A26" s="10" t="inlineStr">
        <is>
          <t>2023-03</t>
        </is>
      </c>
      <c r="B26" s="3" t="inlineStr">
        <is>
          <t>Housing</t>
        </is>
      </c>
      <c r="C26" s="11" t="n">
        <v>12500</v>
      </c>
      <c r="D26" s="11" t="n">
        <v>11260.74</v>
      </c>
      <c r="E26" s="12" t="n">
        <v>1239.26</v>
      </c>
      <c r="F26" s="19" t="n">
        <v>90.09</v>
      </c>
      <c r="G26" s="20" t="inlineStr">
        <is>
          <t>NO</t>
        </is>
      </c>
    </row>
    <row r="27">
      <c r="A27" s="14" t="inlineStr">
        <is>
          <t>2023-03</t>
        </is>
      </c>
      <c r="B27" s="7" t="inlineStr">
        <is>
          <t>Miscellaneous</t>
        </is>
      </c>
      <c r="C27" s="15" t="n">
        <v>1500</v>
      </c>
      <c r="D27" s="15" t="n">
        <v>1987.77</v>
      </c>
      <c r="E27" s="21" t="n">
        <v>-487.77</v>
      </c>
      <c r="F27" s="24" t="n">
        <v>132.52</v>
      </c>
      <c r="G27" s="23" t="inlineStr">
        <is>
          <t>YES</t>
        </is>
      </c>
    </row>
    <row r="28">
      <c r="A28" s="10" t="inlineStr">
        <is>
          <t>2023-03</t>
        </is>
      </c>
      <c r="B28" s="3" t="inlineStr">
        <is>
          <t>Savings</t>
        </is>
      </c>
      <c r="C28" s="11" t="n">
        <v>6000</v>
      </c>
      <c r="D28" s="11" t="n">
        <v>5265.01</v>
      </c>
      <c r="E28" s="12" t="n">
        <v>734.9899999999998</v>
      </c>
      <c r="F28" s="19" t="n">
        <v>87.75</v>
      </c>
      <c r="G28" s="20" t="inlineStr">
        <is>
          <t>NO</t>
        </is>
      </c>
    </row>
    <row r="29">
      <c r="A29" s="14" t="inlineStr">
        <is>
          <t>2023-03</t>
        </is>
      </c>
      <c r="B29" s="7" t="inlineStr">
        <is>
          <t>Shopping</t>
        </is>
      </c>
      <c r="C29" s="15" t="n">
        <v>3500</v>
      </c>
      <c r="D29" s="15" t="n">
        <v>5073.2</v>
      </c>
      <c r="E29" s="21" t="n">
        <v>-1573.2</v>
      </c>
      <c r="F29" s="24" t="n">
        <v>144.95</v>
      </c>
      <c r="G29" s="23" t="inlineStr">
        <is>
          <t>YES</t>
        </is>
      </c>
    </row>
    <row r="30">
      <c r="A30" s="10" t="inlineStr">
        <is>
          <t>2023-03</t>
        </is>
      </c>
      <c r="B30" s="3" t="inlineStr">
        <is>
          <t>Transport</t>
        </is>
      </c>
      <c r="C30" s="11" t="n">
        <v>3000</v>
      </c>
      <c r="D30" s="11" t="n">
        <v>2521.67</v>
      </c>
      <c r="E30" s="12" t="n">
        <v>478.3299999999999</v>
      </c>
      <c r="F30" s="19" t="n">
        <v>84.06</v>
      </c>
      <c r="G30" s="20" t="inlineStr">
        <is>
          <t>NO</t>
        </is>
      </c>
    </row>
    <row r="31">
      <c r="A31" s="14" t="inlineStr">
        <is>
          <t>2023-03</t>
        </is>
      </c>
      <c r="B31" s="7" t="inlineStr">
        <is>
          <t>Utilities</t>
        </is>
      </c>
      <c r="C31" s="15" t="n">
        <v>2000</v>
      </c>
      <c r="D31" s="15" t="n">
        <v>2426.5</v>
      </c>
      <c r="E31" s="21" t="n">
        <v>-426.5</v>
      </c>
      <c r="F31" s="24" t="n">
        <v>121.32</v>
      </c>
      <c r="G31" s="23" t="inlineStr">
        <is>
          <t>YES</t>
        </is>
      </c>
    </row>
    <row r="32">
      <c r="A32" s="10" t="inlineStr">
        <is>
          <t>2023-04</t>
        </is>
      </c>
      <c r="B32" s="3" t="inlineStr">
        <is>
          <t>Education</t>
        </is>
      </c>
      <c r="C32" s="11" t="n">
        <v>2500</v>
      </c>
      <c r="D32" s="11" t="n">
        <v>2328.76</v>
      </c>
      <c r="E32" s="12" t="n">
        <v>171.2399999999998</v>
      </c>
      <c r="F32" s="19" t="n">
        <v>93.15000000000001</v>
      </c>
      <c r="G32" s="20" t="inlineStr">
        <is>
          <t>NO</t>
        </is>
      </c>
    </row>
    <row r="33">
      <c r="A33" s="14" t="inlineStr">
        <is>
          <t>2023-04</t>
        </is>
      </c>
      <c r="B33" s="7" t="inlineStr">
        <is>
          <t>Entertainment</t>
        </is>
      </c>
      <c r="C33" s="15" t="n">
        <v>2000</v>
      </c>
      <c r="D33" s="15" t="n">
        <v>666.1799999999999</v>
      </c>
      <c r="E33" s="12" t="n">
        <v>1333.82</v>
      </c>
      <c r="F33" s="22" t="n">
        <v>33.31</v>
      </c>
      <c r="G33" s="20" t="inlineStr">
        <is>
          <t>NO</t>
        </is>
      </c>
    </row>
    <row r="34">
      <c r="A34" s="10" t="inlineStr">
        <is>
          <t>2023-04</t>
        </is>
      </c>
      <c r="B34" s="3" t="inlineStr">
        <is>
          <t>Food</t>
        </is>
      </c>
      <c r="C34" s="11" t="n">
        <v>6000</v>
      </c>
      <c r="D34" s="11" t="n">
        <v>7856.24</v>
      </c>
      <c r="E34" s="21" t="n">
        <v>-1856.24</v>
      </c>
      <c r="F34" s="24" t="n">
        <v>130.94</v>
      </c>
      <c r="G34" s="23" t="inlineStr">
        <is>
          <t>YES</t>
        </is>
      </c>
    </row>
    <row r="35">
      <c r="A35" s="14" t="inlineStr">
        <is>
          <t>2023-04</t>
        </is>
      </c>
      <c r="B35" s="7" t="inlineStr">
        <is>
          <t>Healthcare</t>
        </is>
      </c>
      <c r="C35" s="15" t="n">
        <v>2000</v>
      </c>
      <c r="D35" s="15" t="n">
        <v>2436.48</v>
      </c>
      <c r="E35" s="21" t="n">
        <v>-436.48</v>
      </c>
      <c r="F35" s="24" t="n">
        <v>121.82</v>
      </c>
      <c r="G35" s="23" t="inlineStr">
        <is>
          <t>YES</t>
        </is>
      </c>
    </row>
    <row r="36">
      <c r="A36" s="10" t="inlineStr">
        <is>
          <t>2023-04</t>
        </is>
      </c>
      <c r="B36" s="3" t="inlineStr">
        <is>
          <t>Housing</t>
        </is>
      </c>
      <c r="C36" s="11" t="n">
        <v>12500</v>
      </c>
      <c r="D36" s="11" t="n">
        <v>12406.26</v>
      </c>
      <c r="E36" s="12" t="n">
        <v>93.73999999999978</v>
      </c>
      <c r="F36" s="19" t="n">
        <v>99.25</v>
      </c>
      <c r="G36" s="20" t="inlineStr">
        <is>
          <t>NO</t>
        </is>
      </c>
    </row>
    <row r="37">
      <c r="A37" s="14" t="inlineStr">
        <is>
          <t>2023-04</t>
        </is>
      </c>
      <c r="B37" s="7" t="inlineStr">
        <is>
          <t>Miscellaneous</t>
        </is>
      </c>
      <c r="C37" s="15" t="n">
        <v>1500</v>
      </c>
      <c r="D37" s="15" t="n">
        <v>1595.17</v>
      </c>
      <c r="E37" s="21" t="n">
        <v>-95.17000000000007</v>
      </c>
      <c r="F37" s="24" t="n">
        <v>106.34</v>
      </c>
      <c r="G37" s="23" t="inlineStr">
        <is>
          <t>YES</t>
        </is>
      </c>
    </row>
    <row r="38">
      <c r="A38" s="10" t="inlineStr">
        <is>
          <t>2023-04</t>
        </is>
      </c>
      <c r="B38" s="3" t="inlineStr">
        <is>
          <t>Savings</t>
        </is>
      </c>
      <c r="C38" s="11" t="n">
        <v>6000</v>
      </c>
      <c r="D38" s="11" t="n">
        <v>3865.12</v>
      </c>
      <c r="E38" s="12" t="n">
        <v>2134.88</v>
      </c>
      <c r="F38" s="19" t="n">
        <v>64.42</v>
      </c>
      <c r="G38" s="20" t="inlineStr">
        <is>
          <t>NO</t>
        </is>
      </c>
    </row>
    <row r="39">
      <c r="A39" s="14" t="inlineStr">
        <is>
          <t>2023-04</t>
        </is>
      </c>
      <c r="B39" s="7" t="inlineStr">
        <is>
          <t>Shopping</t>
        </is>
      </c>
      <c r="C39" s="15" t="n">
        <v>3500</v>
      </c>
      <c r="D39" s="15" t="n">
        <v>2297.5</v>
      </c>
      <c r="E39" s="12" t="n">
        <v>1202.5</v>
      </c>
      <c r="F39" s="22" t="n">
        <v>65.64</v>
      </c>
      <c r="G39" s="20" t="inlineStr">
        <is>
          <t>NO</t>
        </is>
      </c>
    </row>
    <row r="40">
      <c r="A40" s="10" t="inlineStr">
        <is>
          <t>2023-04</t>
        </is>
      </c>
      <c r="B40" s="3" t="inlineStr">
        <is>
          <t>Transport</t>
        </is>
      </c>
      <c r="C40" s="11" t="n">
        <v>3000</v>
      </c>
      <c r="D40" s="11" t="n">
        <v>3783.78</v>
      </c>
      <c r="E40" s="21" t="n">
        <v>-783.7800000000002</v>
      </c>
      <c r="F40" s="24" t="n">
        <v>126.13</v>
      </c>
      <c r="G40" s="23" t="inlineStr">
        <is>
          <t>YES</t>
        </is>
      </c>
    </row>
    <row r="41">
      <c r="A41" s="14" t="inlineStr">
        <is>
          <t>2023-04</t>
        </is>
      </c>
      <c r="B41" s="7" t="inlineStr">
        <is>
          <t>Utilities</t>
        </is>
      </c>
      <c r="C41" s="15" t="n">
        <v>2000</v>
      </c>
      <c r="D41" s="15" t="n">
        <v>2512.75</v>
      </c>
      <c r="E41" s="21" t="n">
        <v>-512.75</v>
      </c>
      <c r="F41" s="24" t="n">
        <v>125.64</v>
      </c>
      <c r="G41" s="23" t="inlineStr">
        <is>
          <t>YES</t>
        </is>
      </c>
    </row>
    <row r="42">
      <c r="A42" s="10" t="inlineStr">
        <is>
          <t>2023-05</t>
        </is>
      </c>
      <c r="B42" s="3" t="inlineStr">
        <is>
          <t>Education</t>
        </is>
      </c>
      <c r="C42" s="11" t="n">
        <v>2500</v>
      </c>
      <c r="D42" s="11" t="n">
        <v>1852.87</v>
      </c>
      <c r="E42" s="12" t="n">
        <v>647.1300000000001</v>
      </c>
      <c r="F42" s="19" t="n">
        <v>74.11</v>
      </c>
      <c r="G42" s="20" t="inlineStr">
        <is>
          <t>NO</t>
        </is>
      </c>
    </row>
    <row r="43">
      <c r="A43" s="14" t="inlineStr">
        <is>
          <t>2023-05</t>
        </is>
      </c>
      <c r="B43" s="7" t="inlineStr">
        <is>
          <t>Entertainment</t>
        </is>
      </c>
      <c r="C43" s="15" t="n">
        <v>2000</v>
      </c>
      <c r="D43" s="15" t="n">
        <v>2320.36</v>
      </c>
      <c r="E43" s="21" t="n">
        <v>-320.3600000000001</v>
      </c>
      <c r="F43" s="24" t="n">
        <v>116.02</v>
      </c>
      <c r="G43" s="23" t="inlineStr">
        <is>
          <t>YES</t>
        </is>
      </c>
    </row>
    <row r="44">
      <c r="A44" s="10" t="inlineStr">
        <is>
          <t>2023-05</t>
        </is>
      </c>
      <c r="B44" s="3" t="inlineStr">
        <is>
          <t>Food</t>
        </is>
      </c>
      <c r="C44" s="11" t="n">
        <v>6000</v>
      </c>
      <c r="D44" s="11" t="n">
        <v>7392.63</v>
      </c>
      <c r="E44" s="21" t="n">
        <v>-1392.63</v>
      </c>
      <c r="F44" s="24" t="n">
        <v>123.21</v>
      </c>
      <c r="G44" s="23" t="inlineStr">
        <is>
          <t>YES</t>
        </is>
      </c>
    </row>
    <row r="45">
      <c r="A45" s="14" t="inlineStr">
        <is>
          <t>2023-05</t>
        </is>
      </c>
      <c r="B45" s="7" t="inlineStr">
        <is>
          <t>Healthcare</t>
        </is>
      </c>
      <c r="C45" s="15" t="n">
        <v>2000</v>
      </c>
      <c r="D45" s="15" t="n">
        <v>1632.25</v>
      </c>
      <c r="E45" s="12" t="n">
        <v>367.75</v>
      </c>
      <c r="F45" s="22" t="n">
        <v>81.61</v>
      </c>
      <c r="G45" s="20" t="inlineStr">
        <is>
          <t>NO</t>
        </is>
      </c>
    </row>
    <row r="46">
      <c r="A46" s="10" t="inlineStr">
        <is>
          <t>2023-05</t>
        </is>
      </c>
      <c r="B46" s="3" t="inlineStr">
        <is>
          <t>Housing</t>
        </is>
      </c>
      <c r="C46" s="11" t="n">
        <v>12500</v>
      </c>
      <c r="D46" s="11" t="n">
        <v>11980.18</v>
      </c>
      <c r="E46" s="12" t="n">
        <v>519.8199999999997</v>
      </c>
      <c r="F46" s="19" t="n">
        <v>95.84</v>
      </c>
      <c r="G46" s="20" t="inlineStr">
        <is>
          <t>NO</t>
        </is>
      </c>
    </row>
    <row r="47">
      <c r="A47" s="14" t="inlineStr">
        <is>
          <t>2023-05</t>
        </is>
      </c>
      <c r="B47" s="7" t="inlineStr">
        <is>
          <t>Miscellaneous</t>
        </is>
      </c>
      <c r="C47" s="15" t="n">
        <v>1500</v>
      </c>
      <c r="D47" s="15" t="n">
        <v>1416.97</v>
      </c>
      <c r="E47" s="12" t="n">
        <v>83.02999999999997</v>
      </c>
      <c r="F47" s="22" t="n">
        <v>94.45999999999999</v>
      </c>
      <c r="G47" s="20" t="inlineStr">
        <is>
          <t>NO</t>
        </is>
      </c>
    </row>
    <row r="48">
      <c r="A48" s="10" t="inlineStr">
        <is>
          <t>2023-05</t>
        </is>
      </c>
      <c r="B48" s="3" t="inlineStr">
        <is>
          <t>Savings</t>
        </is>
      </c>
      <c r="C48" s="11" t="n">
        <v>6000</v>
      </c>
      <c r="D48" s="11" t="n">
        <v>5362.35</v>
      </c>
      <c r="E48" s="12" t="n">
        <v>637.6499999999996</v>
      </c>
      <c r="F48" s="19" t="n">
        <v>89.37</v>
      </c>
      <c r="G48" s="20" t="inlineStr">
        <is>
          <t>NO</t>
        </is>
      </c>
    </row>
    <row r="49">
      <c r="A49" s="14" t="inlineStr">
        <is>
          <t>2023-05</t>
        </is>
      </c>
      <c r="B49" s="7" t="inlineStr">
        <is>
          <t>Shopping</t>
        </is>
      </c>
      <c r="C49" s="15" t="n">
        <v>3500</v>
      </c>
      <c r="D49" s="15" t="n">
        <v>4006.14</v>
      </c>
      <c r="E49" s="21" t="n">
        <v>-506.1399999999999</v>
      </c>
      <c r="F49" s="24" t="n">
        <v>114.46</v>
      </c>
      <c r="G49" s="23" t="inlineStr">
        <is>
          <t>YES</t>
        </is>
      </c>
    </row>
    <row r="50">
      <c r="A50" s="10" t="inlineStr">
        <is>
          <t>2023-05</t>
        </is>
      </c>
      <c r="B50" s="3" t="inlineStr">
        <is>
          <t>Transport</t>
        </is>
      </c>
      <c r="C50" s="11" t="n">
        <v>3000</v>
      </c>
      <c r="D50" s="11" t="n">
        <v>3777.58</v>
      </c>
      <c r="E50" s="21" t="n">
        <v>-777.5799999999999</v>
      </c>
      <c r="F50" s="24" t="n">
        <v>125.92</v>
      </c>
      <c r="G50" s="23" t="inlineStr">
        <is>
          <t>YES</t>
        </is>
      </c>
    </row>
    <row r="51">
      <c r="A51" s="14" t="inlineStr">
        <is>
          <t>2023-05</t>
        </is>
      </c>
      <c r="B51" s="7" t="inlineStr">
        <is>
          <t>Utilities</t>
        </is>
      </c>
      <c r="C51" s="15" t="n">
        <v>2000</v>
      </c>
      <c r="D51" s="15" t="n">
        <v>2129.62</v>
      </c>
      <c r="E51" s="21" t="n">
        <v>-129.6199999999999</v>
      </c>
      <c r="F51" s="24" t="n">
        <v>106.48</v>
      </c>
      <c r="G51" s="23" t="inlineStr">
        <is>
          <t>YES</t>
        </is>
      </c>
    </row>
    <row r="52">
      <c r="A52" s="10" t="inlineStr">
        <is>
          <t>2023-06</t>
        </is>
      </c>
      <c r="B52" s="3" t="inlineStr">
        <is>
          <t>Education</t>
        </is>
      </c>
      <c r="C52" s="11" t="n">
        <v>2500</v>
      </c>
      <c r="D52" s="11" t="n">
        <v>2789.83</v>
      </c>
      <c r="E52" s="21" t="n">
        <v>-289.8299999999999</v>
      </c>
      <c r="F52" s="24" t="n">
        <v>111.59</v>
      </c>
      <c r="G52" s="23" t="inlineStr">
        <is>
          <t>YES</t>
        </is>
      </c>
    </row>
    <row r="53">
      <c r="A53" s="14" t="inlineStr">
        <is>
          <t>2023-06</t>
        </is>
      </c>
      <c r="B53" s="7" t="inlineStr">
        <is>
          <t>Entertainment</t>
        </is>
      </c>
      <c r="C53" s="15" t="n">
        <v>2000</v>
      </c>
      <c r="D53" s="15" t="n">
        <v>3111.62</v>
      </c>
      <c r="E53" s="21" t="n">
        <v>-1111.62</v>
      </c>
      <c r="F53" s="24" t="n">
        <v>155.58</v>
      </c>
      <c r="G53" s="23" t="inlineStr">
        <is>
          <t>YES</t>
        </is>
      </c>
    </row>
    <row r="54">
      <c r="A54" s="10" t="inlineStr">
        <is>
          <t>2023-06</t>
        </is>
      </c>
      <c r="B54" s="3" t="inlineStr">
        <is>
          <t>Food</t>
        </is>
      </c>
      <c r="C54" s="11" t="n">
        <v>6000</v>
      </c>
      <c r="D54" s="11" t="n">
        <v>5801.5</v>
      </c>
      <c r="E54" s="12" t="n">
        <v>198.5</v>
      </c>
      <c r="F54" s="19" t="n">
        <v>96.69</v>
      </c>
      <c r="G54" s="20" t="inlineStr">
        <is>
          <t>NO</t>
        </is>
      </c>
    </row>
    <row r="55">
      <c r="A55" s="14" t="inlineStr">
        <is>
          <t>2023-06</t>
        </is>
      </c>
      <c r="B55" s="7" t="inlineStr">
        <is>
          <t>Healthcare</t>
        </is>
      </c>
      <c r="C55" s="15" t="n">
        <v>2000</v>
      </c>
      <c r="D55" s="15" t="n">
        <v>3770.59</v>
      </c>
      <c r="E55" s="21" t="n">
        <v>-1770.59</v>
      </c>
      <c r="F55" s="24" t="n">
        <v>188.53</v>
      </c>
      <c r="G55" s="23" t="inlineStr">
        <is>
          <t>YES</t>
        </is>
      </c>
    </row>
    <row r="56">
      <c r="A56" s="10" t="inlineStr">
        <is>
          <t>2023-06</t>
        </is>
      </c>
      <c r="B56" s="3" t="inlineStr">
        <is>
          <t>Housing</t>
        </is>
      </c>
      <c r="C56" s="11" t="n">
        <v>12500</v>
      </c>
      <c r="D56" s="11" t="n">
        <v>11990.72</v>
      </c>
      <c r="E56" s="12" t="n">
        <v>509.2800000000007</v>
      </c>
      <c r="F56" s="19" t="n">
        <v>95.93000000000001</v>
      </c>
      <c r="G56" s="20" t="inlineStr">
        <is>
          <t>NO</t>
        </is>
      </c>
    </row>
    <row r="57">
      <c r="A57" s="14" t="inlineStr">
        <is>
          <t>2023-06</t>
        </is>
      </c>
      <c r="B57" s="7" t="inlineStr">
        <is>
          <t>Miscellaneous</t>
        </is>
      </c>
      <c r="C57" s="15" t="n">
        <v>1500</v>
      </c>
      <c r="D57" s="15" t="n">
        <v>1305.27</v>
      </c>
      <c r="E57" s="12" t="n">
        <v>194.73</v>
      </c>
      <c r="F57" s="22" t="n">
        <v>87.02</v>
      </c>
      <c r="G57" s="20" t="inlineStr">
        <is>
          <t>NO</t>
        </is>
      </c>
    </row>
    <row r="58">
      <c r="A58" s="10" t="inlineStr">
        <is>
          <t>2023-06</t>
        </is>
      </c>
      <c r="B58" s="3" t="inlineStr">
        <is>
          <t>Savings</t>
        </is>
      </c>
      <c r="C58" s="11" t="n">
        <v>6000</v>
      </c>
      <c r="D58" s="11" t="n">
        <v>5974.44</v>
      </c>
      <c r="E58" s="12" t="n">
        <v>25.5600000000004</v>
      </c>
      <c r="F58" s="19" t="n">
        <v>99.56999999999999</v>
      </c>
      <c r="G58" s="20" t="inlineStr">
        <is>
          <t>NO</t>
        </is>
      </c>
    </row>
    <row r="59">
      <c r="A59" s="14" t="inlineStr">
        <is>
          <t>2023-06</t>
        </is>
      </c>
      <c r="B59" s="7" t="inlineStr">
        <is>
          <t>Shopping</t>
        </is>
      </c>
      <c r="C59" s="15" t="n">
        <v>3500</v>
      </c>
      <c r="D59" s="15" t="n">
        <v>3669.6</v>
      </c>
      <c r="E59" s="21" t="n">
        <v>-169.5999999999999</v>
      </c>
      <c r="F59" s="24" t="n">
        <v>104.85</v>
      </c>
      <c r="G59" s="23" t="inlineStr">
        <is>
          <t>YES</t>
        </is>
      </c>
    </row>
    <row r="60">
      <c r="A60" s="10" t="inlineStr">
        <is>
          <t>2023-06</t>
        </is>
      </c>
      <c r="B60" s="3" t="inlineStr">
        <is>
          <t>Transport</t>
        </is>
      </c>
      <c r="C60" s="11" t="n">
        <v>3000</v>
      </c>
      <c r="D60" s="11" t="n">
        <v>3236.14</v>
      </c>
      <c r="E60" s="21" t="n">
        <v>-236.1399999999999</v>
      </c>
      <c r="F60" s="24" t="n">
        <v>107.87</v>
      </c>
      <c r="G60" s="23" t="inlineStr">
        <is>
          <t>YES</t>
        </is>
      </c>
    </row>
    <row r="61">
      <c r="A61" s="14" t="inlineStr">
        <is>
          <t>2023-06</t>
        </is>
      </c>
      <c r="B61" s="7" t="inlineStr">
        <is>
          <t>Utilities</t>
        </is>
      </c>
      <c r="C61" s="15" t="n">
        <v>2000</v>
      </c>
      <c r="D61" s="15" t="n">
        <v>2129.62</v>
      </c>
      <c r="E61" s="21" t="n">
        <v>-129.6199999999999</v>
      </c>
      <c r="F61" s="24" t="n">
        <v>106.48</v>
      </c>
      <c r="G61" s="23" t="inlineStr">
        <is>
          <t>YES</t>
        </is>
      </c>
    </row>
    <row r="62">
      <c r="A62" s="10" t="inlineStr">
        <is>
          <t>2023-07</t>
        </is>
      </c>
      <c r="B62" s="3" t="inlineStr">
        <is>
          <t>Education</t>
        </is>
      </c>
      <c r="C62" s="11" t="n">
        <v>2500</v>
      </c>
      <c r="D62" s="11" t="n">
        <v>1645.8</v>
      </c>
      <c r="E62" s="12" t="n">
        <v>854.2</v>
      </c>
      <c r="F62" s="19" t="n">
        <v>65.83</v>
      </c>
      <c r="G62" s="20" t="inlineStr">
        <is>
          <t>NO</t>
        </is>
      </c>
    </row>
    <row r="63">
      <c r="A63" s="14" t="inlineStr">
        <is>
          <t>2023-07</t>
        </is>
      </c>
      <c r="B63" s="7" t="inlineStr">
        <is>
          <t>Entertainment</t>
        </is>
      </c>
      <c r="C63" s="15" t="n">
        <v>2000</v>
      </c>
      <c r="D63" s="15" t="n">
        <v>2603.21</v>
      </c>
      <c r="E63" s="21" t="n">
        <v>-603.21</v>
      </c>
      <c r="F63" s="24" t="n">
        <v>130.16</v>
      </c>
      <c r="G63" s="23" t="inlineStr">
        <is>
          <t>YES</t>
        </is>
      </c>
    </row>
    <row r="64">
      <c r="A64" s="10" t="inlineStr">
        <is>
          <t>2023-07</t>
        </is>
      </c>
      <c r="B64" s="3" t="inlineStr">
        <is>
          <t>Food</t>
        </is>
      </c>
      <c r="C64" s="11" t="n">
        <v>6000</v>
      </c>
      <c r="D64" s="11" t="n">
        <v>8332.5</v>
      </c>
      <c r="E64" s="21" t="n">
        <v>-2332.5</v>
      </c>
      <c r="F64" s="24" t="n">
        <v>138.88</v>
      </c>
      <c r="G64" s="23" t="inlineStr">
        <is>
          <t>YES</t>
        </is>
      </c>
    </row>
    <row r="65">
      <c r="A65" s="14" t="inlineStr">
        <is>
          <t>2023-07</t>
        </is>
      </c>
      <c r="B65" s="7" t="inlineStr">
        <is>
          <t>Healthcare</t>
        </is>
      </c>
      <c r="C65" s="15" t="n">
        <v>2000</v>
      </c>
      <c r="D65" s="15" t="n">
        <v>1584.05</v>
      </c>
      <c r="E65" s="12" t="n">
        <v>415.95</v>
      </c>
      <c r="F65" s="22" t="n">
        <v>79.2</v>
      </c>
      <c r="G65" s="20" t="inlineStr">
        <is>
          <t>NO</t>
        </is>
      </c>
    </row>
    <row r="66">
      <c r="A66" s="10" t="inlineStr">
        <is>
          <t>2023-07</t>
        </is>
      </c>
      <c r="B66" s="3" t="inlineStr">
        <is>
          <t>Housing</t>
        </is>
      </c>
      <c r="C66" s="11" t="n">
        <v>12500</v>
      </c>
      <c r="D66" s="11" t="n">
        <v>11791.77</v>
      </c>
      <c r="E66" s="12" t="n">
        <v>708.2299999999996</v>
      </c>
      <c r="F66" s="19" t="n">
        <v>94.33</v>
      </c>
      <c r="G66" s="20" t="inlineStr">
        <is>
          <t>NO</t>
        </is>
      </c>
    </row>
    <row r="67">
      <c r="A67" s="14" t="inlineStr">
        <is>
          <t>2023-07</t>
        </is>
      </c>
      <c r="B67" s="7" t="inlineStr">
        <is>
          <t>Miscellaneous</t>
        </is>
      </c>
      <c r="C67" s="15" t="n">
        <v>1500</v>
      </c>
      <c r="D67" s="15" t="n">
        <v>1397.07</v>
      </c>
      <c r="E67" s="12" t="n">
        <v>102.9300000000001</v>
      </c>
      <c r="F67" s="22" t="n">
        <v>93.14</v>
      </c>
      <c r="G67" s="20" t="inlineStr">
        <is>
          <t>NO</t>
        </is>
      </c>
    </row>
    <row r="68">
      <c r="A68" s="10" t="inlineStr">
        <is>
          <t>2023-07</t>
        </is>
      </c>
      <c r="B68" s="3" t="inlineStr">
        <is>
          <t>Savings</t>
        </is>
      </c>
      <c r="C68" s="11" t="n">
        <v>6000</v>
      </c>
      <c r="D68" s="11" t="n">
        <v>4740.41</v>
      </c>
      <c r="E68" s="12" t="n">
        <v>1259.59</v>
      </c>
      <c r="F68" s="19" t="n">
        <v>79.01000000000001</v>
      </c>
      <c r="G68" s="20" t="inlineStr">
        <is>
          <t>NO</t>
        </is>
      </c>
    </row>
    <row r="69">
      <c r="A69" s="14" t="inlineStr">
        <is>
          <t>2023-07</t>
        </is>
      </c>
      <c r="B69" s="7" t="inlineStr">
        <is>
          <t>Shopping</t>
        </is>
      </c>
      <c r="C69" s="15" t="n">
        <v>3500</v>
      </c>
      <c r="D69" s="15" t="n">
        <v>5576.22</v>
      </c>
      <c r="E69" s="21" t="n">
        <v>-2076.22</v>
      </c>
      <c r="F69" s="24" t="n">
        <v>159.32</v>
      </c>
      <c r="G69" s="23" t="inlineStr">
        <is>
          <t>YES</t>
        </is>
      </c>
    </row>
    <row r="70">
      <c r="A70" s="10" t="inlineStr">
        <is>
          <t>2023-07</t>
        </is>
      </c>
      <c r="B70" s="3" t="inlineStr">
        <is>
          <t>Transport</t>
        </is>
      </c>
      <c r="C70" s="11" t="n">
        <v>3000</v>
      </c>
      <c r="D70" s="11" t="n">
        <v>2767.82</v>
      </c>
      <c r="E70" s="12" t="n">
        <v>232.1799999999998</v>
      </c>
      <c r="F70" s="19" t="n">
        <v>92.26000000000001</v>
      </c>
      <c r="G70" s="20" t="inlineStr">
        <is>
          <t>NO</t>
        </is>
      </c>
    </row>
    <row r="71">
      <c r="A71" s="14" t="inlineStr">
        <is>
          <t>2023-07</t>
        </is>
      </c>
      <c r="B71" s="7" t="inlineStr">
        <is>
          <t>Utilities</t>
        </is>
      </c>
      <c r="C71" s="15" t="n">
        <v>2000</v>
      </c>
      <c r="D71" s="15" t="n">
        <v>1830.74</v>
      </c>
      <c r="E71" s="12" t="n">
        <v>169.26</v>
      </c>
      <c r="F71" s="22" t="n">
        <v>91.54000000000001</v>
      </c>
      <c r="G71" s="20" t="inlineStr">
        <is>
          <t>NO</t>
        </is>
      </c>
    </row>
    <row r="72">
      <c r="A72" s="10" t="inlineStr">
        <is>
          <t>2023-08</t>
        </is>
      </c>
      <c r="B72" s="3" t="inlineStr">
        <is>
          <t>Education</t>
        </is>
      </c>
      <c r="C72" s="11" t="n">
        <v>2500</v>
      </c>
      <c r="D72" s="11" t="n">
        <v>1226.17</v>
      </c>
      <c r="E72" s="12" t="n">
        <v>1273.83</v>
      </c>
      <c r="F72" s="19" t="n">
        <v>49.05</v>
      </c>
      <c r="G72" s="20" t="inlineStr">
        <is>
          <t>NO</t>
        </is>
      </c>
    </row>
    <row r="73">
      <c r="A73" s="14" t="inlineStr">
        <is>
          <t>2023-08</t>
        </is>
      </c>
      <c r="B73" s="7" t="inlineStr">
        <is>
          <t>Entertainment</t>
        </is>
      </c>
      <c r="C73" s="15" t="n">
        <v>2000</v>
      </c>
      <c r="D73" s="15" t="n">
        <v>2774.91</v>
      </c>
      <c r="E73" s="21" t="n">
        <v>-774.9099999999999</v>
      </c>
      <c r="F73" s="24" t="n">
        <v>138.75</v>
      </c>
      <c r="G73" s="23" t="inlineStr">
        <is>
          <t>YES</t>
        </is>
      </c>
    </row>
    <row r="74">
      <c r="A74" s="10" t="inlineStr">
        <is>
          <t>2023-08</t>
        </is>
      </c>
      <c r="B74" s="3" t="inlineStr">
        <is>
          <t>Food</t>
        </is>
      </c>
      <c r="C74" s="11" t="n">
        <v>6000</v>
      </c>
      <c r="D74" s="11" t="n">
        <v>7946.71</v>
      </c>
      <c r="E74" s="21" t="n">
        <v>-1946.71</v>
      </c>
      <c r="F74" s="24" t="n">
        <v>132.45</v>
      </c>
      <c r="G74" s="23" t="inlineStr">
        <is>
          <t>YES</t>
        </is>
      </c>
    </row>
    <row r="75">
      <c r="A75" s="14" t="inlineStr">
        <is>
          <t>2023-08</t>
        </is>
      </c>
      <c r="B75" s="7" t="inlineStr">
        <is>
          <t>Healthcare</t>
        </is>
      </c>
      <c r="C75" s="15" t="n">
        <v>2000</v>
      </c>
      <c r="D75" s="15" t="n">
        <v>2682.15</v>
      </c>
      <c r="E75" s="21" t="n">
        <v>-682.1500000000001</v>
      </c>
      <c r="F75" s="24" t="n">
        <v>134.11</v>
      </c>
      <c r="G75" s="23" t="inlineStr">
        <is>
          <t>YES</t>
        </is>
      </c>
    </row>
    <row r="76">
      <c r="A76" s="10" t="inlineStr">
        <is>
          <t>2023-08</t>
        </is>
      </c>
      <c r="B76" s="3" t="inlineStr">
        <is>
          <t>Housing</t>
        </is>
      </c>
      <c r="C76" s="11" t="n">
        <v>12500</v>
      </c>
      <c r="D76" s="11" t="n">
        <v>12408.08</v>
      </c>
      <c r="E76" s="12" t="n">
        <v>91.92000000000007</v>
      </c>
      <c r="F76" s="19" t="n">
        <v>99.26000000000001</v>
      </c>
      <c r="G76" s="20" t="inlineStr">
        <is>
          <t>NO</t>
        </is>
      </c>
    </row>
    <row r="77">
      <c r="A77" s="14" t="inlineStr">
        <is>
          <t>2023-08</t>
        </is>
      </c>
      <c r="B77" s="7" t="inlineStr">
        <is>
          <t>Miscellaneous</t>
        </is>
      </c>
      <c r="C77" s="15" t="n">
        <v>1500</v>
      </c>
      <c r="D77" s="15" t="n">
        <v>2448.4</v>
      </c>
      <c r="E77" s="21" t="n">
        <v>-948.4000000000001</v>
      </c>
      <c r="F77" s="24" t="n">
        <v>163.23</v>
      </c>
      <c r="G77" s="23" t="inlineStr">
        <is>
          <t>YES</t>
        </is>
      </c>
    </row>
    <row r="78">
      <c r="A78" s="10" t="inlineStr">
        <is>
          <t>2023-08</t>
        </is>
      </c>
      <c r="B78" s="3" t="inlineStr">
        <is>
          <t>Savings</t>
        </is>
      </c>
      <c r="C78" s="11" t="n">
        <v>6000</v>
      </c>
      <c r="D78" s="11" t="n">
        <v>5657.65</v>
      </c>
      <c r="E78" s="12" t="n">
        <v>342.3500000000004</v>
      </c>
      <c r="F78" s="19" t="n">
        <v>94.29000000000001</v>
      </c>
      <c r="G78" s="20" t="inlineStr">
        <is>
          <t>NO</t>
        </is>
      </c>
    </row>
    <row r="79">
      <c r="A79" s="14" t="inlineStr">
        <is>
          <t>2023-08</t>
        </is>
      </c>
      <c r="B79" s="7" t="inlineStr">
        <is>
          <t>Shopping</t>
        </is>
      </c>
      <c r="C79" s="15" t="n">
        <v>3500</v>
      </c>
      <c r="D79" s="15" t="n">
        <v>4594.17</v>
      </c>
      <c r="E79" s="21" t="n">
        <v>-1094.17</v>
      </c>
      <c r="F79" s="24" t="n">
        <v>131.26</v>
      </c>
      <c r="G79" s="23" t="inlineStr">
        <is>
          <t>YES</t>
        </is>
      </c>
    </row>
    <row r="80">
      <c r="A80" s="10" t="inlineStr">
        <is>
          <t>2023-08</t>
        </is>
      </c>
      <c r="B80" s="3" t="inlineStr">
        <is>
          <t>Transport</t>
        </is>
      </c>
      <c r="C80" s="11" t="n">
        <v>3000</v>
      </c>
      <c r="D80" s="11" t="n">
        <v>3591.83</v>
      </c>
      <c r="E80" s="21" t="n">
        <v>-591.8299999999999</v>
      </c>
      <c r="F80" s="24" t="n">
        <v>119.73</v>
      </c>
      <c r="G80" s="23" t="inlineStr">
        <is>
          <t>YES</t>
        </is>
      </c>
    </row>
    <row r="81">
      <c r="A81" s="14" t="inlineStr">
        <is>
          <t>2023-08</t>
        </is>
      </c>
      <c r="B81" s="7" t="inlineStr">
        <is>
          <t>Utilities</t>
        </is>
      </c>
      <c r="C81" s="15" t="n">
        <v>2000</v>
      </c>
      <c r="D81" s="15" t="n">
        <v>2085</v>
      </c>
      <c r="E81" s="21" t="n">
        <v>-85</v>
      </c>
      <c r="F81" s="24" t="n">
        <v>104.25</v>
      </c>
      <c r="G81" s="23" t="inlineStr">
        <is>
          <t>YES</t>
        </is>
      </c>
    </row>
    <row r="82">
      <c r="A82" s="10" t="inlineStr">
        <is>
          <t>2023-09</t>
        </is>
      </c>
      <c r="B82" s="3" t="inlineStr">
        <is>
          <t>Education</t>
        </is>
      </c>
      <c r="C82" s="11" t="n">
        <v>2500</v>
      </c>
      <c r="D82" s="11" t="n">
        <v>2158.71</v>
      </c>
      <c r="E82" s="12" t="n">
        <v>341.29</v>
      </c>
      <c r="F82" s="19" t="n">
        <v>86.34999999999999</v>
      </c>
      <c r="G82" s="20" t="inlineStr">
        <is>
          <t>NO</t>
        </is>
      </c>
    </row>
    <row r="83">
      <c r="A83" s="14" t="inlineStr">
        <is>
          <t>2023-09</t>
        </is>
      </c>
      <c r="B83" s="7" t="inlineStr">
        <is>
          <t>Entertainment</t>
        </is>
      </c>
      <c r="C83" s="15" t="n">
        <v>2000</v>
      </c>
      <c r="D83" s="15" t="n">
        <v>3535.89</v>
      </c>
      <c r="E83" s="21" t="n">
        <v>-1535.89</v>
      </c>
      <c r="F83" s="24" t="n">
        <v>176.79</v>
      </c>
      <c r="G83" s="23" t="inlineStr">
        <is>
          <t>YES</t>
        </is>
      </c>
    </row>
    <row r="84">
      <c r="A84" s="10" t="inlineStr">
        <is>
          <t>2023-09</t>
        </is>
      </c>
      <c r="B84" s="3" t="inlineStr">
        <is>
          <t>Food</t>
        </is>
      </c>
      <c r="C84" s="11" t="n">
        <v>6000</v>
      </c>
      <c r="D84" s="11" t="n">
        <v>6841.15</v>
      </c>
      <c r="E84" s="21" t="n">
        <v>-841.1499999999996</v>
      </c>
      <c r="F84" s="24" t="n">
        <v>114.02</v>
      </c>
      <c r="G84" s="23" t="inlineStr">
        <is>
          <t>YES</t>
        </is>
      </c>
    </row>
    <row r="85">
      <c r="A85" s="14" t="inlineStr">
        <is>
          <t>2023-09</t>
        </is>
      </c>
      <c r="B85" s="7" t="inlineStr">
        <is>
          <t>Healthcare</t>
        </is>
      </c>
      <c r="C85" s="15" t="n">
        <v>2000</v>
      </c>
      <c r="D85" s="15" t="n">
        <v>1875.01</v>
      </c>
      <c r="E85" s="12" t="n">
        <v>124.99</v>
      </c>
      <c r="F85" s="22" t="n">
        <v>93.75</v>
      </c>
      <c r="G85" s="20" t="inlineStr">
        <is>
          <t>NO</t>
        </is>
      </c>
    </row>
    <row r="86">
      <c r="A86" s="10" t="inlineStr">
        <is>
          <t>2023-09</t>
        </is>
      </c>
      <c r="B86" s="3" t="inlineStr">
        <is>
          <t>Housing</t>
        </is>
      </c>
      <c r="C86" s="11" t="n">
        <v>12500</v>
      </c>
      <c r="D86" s="11" t="n">
        <v>11961.45</v>
      </c>
      <c r="E86" s="12" t="n">
        <v>538.5499999999993</v>
      </c>
      <c r="F86" s="19" t="n">
        <v>95.69</v>
      </c>
      <c r="G86" s="20" t="inlineStr">
        <is>
          <t>NO</t>
        </is>
      </c>
    </row>
    <row r="87">
      <c r="A87" s="14" t="inlineStr">
        <is>
          <t>2023-09</t>
        </is>
      </c>
      <c r="B87" s="7" t="inlineStr">
        <is>
          <t>Miscellaneous</t>
        </is>
      </c>
      <c r="C87" s="15" t="n">
        <v>1500</v>
      </c>
      <c r="D87" s="15" t="n">
        <v>1888.52</v>
      </c>
      <c r="E87" s="21" t="n">
        <v>-388.52</v>
      </c>
      <c r="F87" s="24" t="n">
        <v>125.9</v>
      </c>
      <c r="G87" s="23" t="inlineStr">
        <is>
          <t>YES</t>
        </is>
      </c>
    </row>
    <row r="88">
      <c r="A88" s="10" t="inlineStr">
        <is>
          <t>2023-09</t>
        </is>
      </c>
      <c r="B88" s="3" t="inlineStr">
        <is>
          <t>Savings</t>
        </is>
      </c>
      <c r="C88" s="11" t="n">
        <v>6000</v>
      </c>
      <c r="D88" s="11" t="n">
        <v>4638.03</v>
      </c>
      <c r="E88" s="12" t="n">
        <v>1361.97</v>
      </c>
      <c r="F88" s="19" t="n">
        <v>77.3</v>
      </c>
      <c r="G88" s="20" t="inlineStr">
        <is>
          <t>NO</t>
        </is>
      </c>
    </row>
    <row r="89">
      <c r="A89" s="14" t="inlineStr">
        <is>
          <t>2023-09</t>
        </is>
      </c>
      <c r="B89" s="7" t="inlineStr">
        <is>
          <t>Shopping</t>
        </is>
      </c>
      <c r="C89" s="15" t="n">
        <v>3500</v>
      </c>
      <c r="D89" s="15" t="n">
        <v>3731.84</v>
      </c>
      <c r="E89" s="21" t="n">
        <v>-231.8400000000001</v>
      </c>
      <c r="F89" s="24" t="n">
        <v>106.62</v>
      </c>
      <c r="G89" s="23" t="inlineStr">
        <is>
          <t>YES</t>
        </is>
      </c>
    </row>
    <row r="90">
      <c r="A90" s="10" t="inlineStr">
        <is>
          <t>2023-09</t>
        </is>
      </c>
      <c r="B90" s="3" t="inlineStr">
        <is>
          <t>Transport</t>
        </is>
      </c>
      <c r="C90" s="11" t="n">
        <v>3000</v>
      </c>
      <c r="D90" s="11" t="n">
        <v>4840.65</v>
      </c>
      <c r="E90" s="21" t="n">
        <v>-1840.65</v>
      </c>
      <c r="F90" s="24" t="n">
        <v>161.35</v>
      </c>
      <c r="G90" s="23" t="inlineStr">
        <is>
          <t>YES</t>
        </is>
      </c>
    </row>
    <row r="91">
      <c r="A91" s="14" t="inlineStr">
        <is>
          <t>2023-09</t>
        </is>
      </c>
      <c r="B91" s="7" t="inlineStr">
        <is>
          <t>Utilities</t>
        </is>
      </c>
      <c r="C91" s="15" t="n">
        <v>2000</v>
      </c>
      <c r="D91" s="15" t="n">
        <v>2414.2</v>
      </c>
      <c r="E91" s="21" t="n">
        <v>-414.1999999999998</v>
      </c>
      <c r="F91" s="24" t="n">
        <v>120.71</v>
      </c>
      <c r="G91" s="23" t="inlineStr">
        <is>
          <t>YES</t>
        </is>
      </c>
    </row>
    <row r="92">
      <c r="A92" s="10" t="inlineStr">
        <is>
          <t>2023-10</t>
        </is>
      </c>
      <c r="B92" s="3" t="inlineStr">
        <is>
          <t>Education</t>
        </is>
      </c>
      <c r="C92" s="11" t="n">
        <v>2500</v>
      </c>
      <c r="D92" s="11" t="n">
        <v>2552.8</v>
      </c>
      <c r="E92" s="21" t="n">
        <v>-52.80000000000018</v>
      </c>
      <c r="F92" s="24" t="n">
        <v>102.11</v>
      </c>
      <c r="G92" s="23" t="inlineStr">
        <is>
          <t>YES</t>
        </is>
      </c>
    </row>
    <row r="93">
      <c r="A93" s="14" t="inlineStr">
        <is>
          <t>2023-10</t>
        </is>
      </c>
      <c r="B93" s="7" t="inlineStr">
        <is>
          <t>Entertainment</t>
        </is>
      </c>
      <c r="C93" s="15" t="n">
        <v>2000</v>
      </c>
      <c r="D93" s="15" t="n">
        <v>1828.69</v>
      </c>
      <c r="E93" s="12" t="n">
        <v>171.3099999999999</v>
      </c>
      <c r="F93" s="22" t="n">
        <v>91.43000000000001</v>
      </c>
      <c r="G93" s="20" t="inlineStr">
        <is>
          <t>NO</t>
        </is>
      </c>
    </row>
    <row r="94">
      <c r="A94" s="10" t="inlineStr">
        <is>
          <t>2023-10</t>
        </is>
      </c>
      <c r="B94" s="3" t="inlineStr">
        <is>
          <t>Food</t>
        </is>
      </c>
      <c r="C94" s="11" t="n">
        <v>6000</v>
      </c>
      <c r="D94" s="11" t="n">
        <v>6592.48</v>
      </c>
      <c r="E94" s="21" t="n">
        <v>-592.4799999999996</v>
      </c>
      <c r="F94" s="24" t="n">
        <v>109.87</v>
      </c>
      <c r="G94" s="23" t="inlineStr">
        <is>
          <t>YES</t>
        </is>
      </c>
    </row>
    <row r="95">
      <c r="A95" s="14" t="inlineStr">
        <is>
          <t>2023-10</t>
        </is>
      </c>
      <c r="B95" s="7" t="inlineStr">
        <is>
          <t>Healthcare</t>
        </is>
      </c>
      <c r="C95" s="15" t="n">
        <v>2000</v>
      </c>
      <c r="D95" s="15" t="n">
        <v>885.62</v>
      </c>
      <c r="E95" s="12" t="n">
        <v>1114.38</v>
      </c>
      <c r="F95" s="22" t="n">
        <v>44.28</v>
      </c>
      <c r="G95" s="20" t="inlineStr">
        <is>
          <t>NO</t>
        </is>
      </c>
    </row>
    <row r="96">
      <c r="A96" s="10" t="inlineStr">
        <is>
          <t>2023-10</t>
        </is>
      </c>
      <c r="B96" s="3" t="inlineStr">
        <is>
          <t>Housing</t>
        </is>
      </c>
      <c r="C96" s="11" t="n">
        <v>12500</v>
      </c>
      <c r="D96" s="11" t="n">
        <v>12355.05</v>
      </c>
      <c r="E96" s="12" t="n">
        <v>144.9500000000007</v>
      </c>
      <c r="F96" s="19" t="n">
        <v>98.84</v>
      </c>
      <c r="G96" s="20" t="inlineStr">
        <is>
          <t>NO</t>
        </is>
      </c>
    </row>
    <row r="97">
      <c r="A97" s="14" t="inlineStr">
        <is>
          <t>2023-10</t>
        </is>
      </c>
      <c r="B97" s="7" t="inlineStr">
        <is>
          <t>Miscellaneous</t>
        </is>
      </c>
      <c r="C97" s="15" t="n">
        <v>1500</v>
      </c>
      <c r="D97" s="15" t="n">
        <v>1588.09</v>
      </c>
      <c r="E97" s="21" t="n">
        <v>-88.08999999999992</v>
      </c>
      <c r="F97" s="24" t="n">
        <v>105.87</v>
      </c>
      <c r="G97" s="23" t="inlineStr">
        <is>
          <t>YES</t>
        </is>
      </c>
    </row>
    <row r="98">
      <c r="A98" s="10" t="inlineStr">
        <is>
          <t>2023-10</t>
        </is>
      </c>
      <c r="B98" s="3" t="inlineStr">
        <is>
          <t>Savings</t>
        </is>
      </c>
      <c r="C98" s="11" t="n">
        <v>6000</v>
      </c>
      <c r="D98" s="11" t="n">
        <v>5185.84</v>
      </c>
      <c r="E98" s="12" t="n">
        <v>814.1599999999999</v>
      </c>
      <c r="F98" s="19" t="n">
        <v>86.43000000000001</v>
      </c>
      <c r="G98" s="20" t="inlineStr">
        <is>
          <t>NO</t>
        </is>
      </c>
    </row>
    <row r="99">
      <c r="A99" s="14" t="inlineStr">
        <is>
          <t>2023-10</t>
        </is>
      </c>
      <c r="B99" s="7" t="inlineStr">
        <is>
          <t>Shopping</t>
        </is>
      </c>
      <c r="C99" s="15" t="n">
        <v>3500</v>
      </c>
      <c r="D99" s="15" t="n">
        <v>4618.06</v>
      </c>
      <c r="E99" s="21" t="n">
        <v>-1118.06</v>
      </c>
      <c r="F99" s="24" t="n">
        <v>131.94</v>
      </c>
      <c r="G99" s="23" t="inlineStr">
        <is>
          <t>YES</t>
        </is>
      </c>
    </row>
    <row r="100">
      <c r="A100" s="10" t="inlineStr">
        <is>
          <t>2023-10</t>
        </is>
      </c>
      <c r="B100" s="3" t="inlineStr">
        <is>
          <t>Transport</t>
        </is>
      </c>
      <c r="C100" s="11" t="n">
        <v>3000</v>
      </c>
      <c r="D100" s="11" t="n">
        <v>3234.93</v>
      </c>
      <c r="E100" s="21" t="n">
        <v>-234.9299999999998</v>
      </c>
      <c r="F100" s="24" t="n">
        <v>107.83</v>
      </c>
      <c r="G100" s="23" t="inlineStr">
        <is>
          <t>YES</t>
        </is>
      </c>
    </row>
    <row r="101">
      <c r="A101" s="14" t="inlineStr">
        <is>
          <t>2023-10</t>
        </is>
      </c>
      <c r="B101" s="7" t="inlineStr">
        <is>
          <t>Utilities</t>
        </is>
      </c>
      <c r="C101" s="15" t="n">
        <v>2000</v>
      </c>
      <c r="D101" s="15" t="n">
        <v>3355.82</v>
      </c>
      <c r="E101" s="21" t="n">
        <v>-1355.82</v>
      </c>
      <c r="F101" s="24" t="n">
        <v>167.79</v>
      </c>
      <c r="G101" s="23" t="inlineStr">
        <is>
          <t>YES</t>
        </is>
      </c>
    </row>
    <row r="102">
      <c r="A102" s="10" t="inlineStr">
        <is>
          <t>2023-11</t>
        </is>
      </c>
      <c r="B102" s="3" t="inlineStr">
        <is>
          <t>Education</t>
        </is>
      </c>
      <c r="C102" s="11" t="n">
        <v>2500</v>
      </c>
      <c r="D102" s="11" t="n">
        <v>2207.48</v>
      </c>
      <c r="E102" s="12" t="n">
        <v>292.52</v>
      </c>
      <c r="F102" s="19" t="n">
        <v>88.3</v>
      </c>
      <c r="G102" s="20" t="inlineStr">
        <is>
          <t>NO</t>
        </is>
      </c>
    </row>
    <row r="103">
      <c r="A103" s="14" t="inlineStr">
        <is>
          <t>2023-11</t>
        </is>
      </c>
      <c r="B103" s="7" t="inlineStr">
        <is>
          <t>Entertainment</t>
        </is>
      </c>
      <c r="C103" s="15" t="n">
        <v>2000</v>
      </c>
      <c r="D103" s="15" t="n">
        <v>2466.65</v>
      </c>
      <c r="E103" s="21" t="n">
        <v>-466.6500000000001</v>
      </c>
      <c r="F103" s="24" t="n">
        <v>123.33</v>
      </c>
      <c r="G103" s="23" t="inlineStr">
        <is>
          <t>YES</t>
        </is>
      </c>
    </row>
    <row r="104">
      <c r="A104" s="10" t="inlineStr">
        <is>
          <t>2023-11</t>
        </is>
      </c>
      <c r="B104" s="3" t="inlineStr">
        <is>
          <t>Food</t>
        </is>
      </c>
      <c r="C104" s="11" t="n">
        <v>6000</v>
      </c>
      <c r="D104" s="11" t="n">
        <v>5965.34</v>
      </c>
      <c r="E104" s="12" t="n">
        <v>34.65999999999985</v>
      </c>
      <c r="F104" s="19" t="n">
        <v>99.42</v>
      </c>
      <c r="G104" s="20" t="inlineStr">
        <is>
          <t>NO</t>
        </is>
      </c>
    </row>
    <row r="105">
      <c r="A105" s="14" t="inlineStr">
        <is>
          <t>2023-11</t>
        </is>
      </c>
      <c r="B105" s="7" t="inlineStr">
        <is>
          <t>Healthcare</t>
        </is>
      </c>
      <c r="C105" s="15" t="n">
        <v>2000</v>
      </c>
      <c r="D105" s="15" t="n">
        <v>295.75</v>
      </c>
      <c r="E105" s="12" t="n">
        <v>1704.25</v>
      </c>
      <c r="F105" s="22" t="n">
        <v>14.79</v>
      </c>
      <c r="G105" s="20" t="inlineStr">
        <is>
          <t>NO</t>
        </is>
      </c>
    </row>
    <row r="106">
      <c r="A106" s="10" t="inlineStr">
        <is>
          <t>2023-11</t>
        </is>
      </c>
      <c r="B106" s="3" t="inlineStr">
        <is>
          <t>Housing</t>
        </is>
      </c>
      <c r="C106" s="11" t="n">
        <v>12500</v>
      </c>
      <c r="D106" s="11" t="n">
        <v>11980.18</v>
      </c>
      <c r="E106" s="12" t="n">
        <v>519.8199999999997</v>
      </c>
      <c r="F106" s="19" t="n">
        <v>95.84</v>
      </c>
      <c r="G106" s="20" t="inlineStr">
        <is>
          <t>NO</t>
        </is>
      </c>
    </row>
    <row r="107">
      <c r="A107" s="14" t="inlineStr">
        <is>
          <t>2023-11</t>
        </is>
      </c>
      <c r="B107" s="7" t="inlineStr">
        <is>
          <t>Miscellaneous</t>
        </is>
      </c>
      <c r="C107" s="15" t="n">
        <v>1500</v>
      </c>
      <c r="D107" s="15" t="n">
        <v>1256.89</v>
      </c>
      <c r="E107" s="12" t="n">
        <v>243.1099999999999</v>
      </c>
      <c r="F107" s="22" t="n">
        <v>83.79000000000001</v>
      </c>
      <c r="G107" s="20" t="inlineStr">
        <is>
          <t>NO</t>
        </is>
      </c>
    </row>
    <row r="108">
      <c r="A108" s="10" t="inlineStr">
        <is>
          <t>2023-11</t>
        </is>
      </c>
      <c r="B108" s="3" t="inlineStr">
        <is>
          <t>Savings</t>
        </is>
      </c>
      <c r="C108" s="11" t="n">
        <v>6000</v>
      </c>
      <c r="D108" s="11" t="n">
        <v>4914.24</v>
      </c>
      <c r="E108" s="12" t="n">
        <v>1085.76</v>
      </c>
      <c r="F108" s="19" t="n">
        <v>81.90000000000001</v>
      </c>
      <c r="G108" s="20" t="inlineStr">
        <is>
          <t>NO</t>
        </is>
      </c>
    </row>
    <row r="109">
      <c r="A109" s="14" t="inlineStr">
        <is>
          <t>2023-11</t>
        </is>
      </c>
      <c r="B109" s="7" t="inlineStr">
        <is>
          <t>Shopping</t>
        </is>
      </c>
      <c r="C109" s="15" t="n">
        <v>3500</v>
      </c>
      <c r="D109" s="15" t="n">
        <v>3081.39</v>
      </c>
      <c r="E109" s="12" t="n">
        <v>418.6100000000001</v>
      </c>
      <c r="F109" s="22" t="n">
        <v>88.04000000000001</v>
      </c>
      <c r="G109" s="20" t="inlineStr">
        <is>
          <t>NO</t>
        </is>
      </c>
    </row>
    <row r="110">
      <c r="A110" s="10" t="inlineStr">
        <is>
          <t>2023-11</t>
        </is>
      </c>
      <c r="B110" s="3" t="inlineStr">
        <is>
          <t>Transport</t>
        </is>
      </c>
      <c r="C110" s="11" t="n">
        <v>3000</v>
      </c>
      <c r="D110" s="11" t="n">
        <v>3412.65</v>
      </c>
      <c r="E110" s="21" t="n">
        <v>-412.6500000000001</v>
      </c>
      <c r="F110" s="24" t="n">
        <v>113.76</v>
      </c>
      <c r="G110" s="23" t="inlineStr">
        <is>
          <t>YES</t>
        </is>
      </c>
    </row>
    <row r="111">
      <c r="A111" s="14" t="inlineStr">
        <is>
          <t>2023-11</t>
        </is>
      </c>
      <c r="B111" s="7" t="inlineStr">
        <is>
          <t>Utilities</t>
        </is>
      </c>
      <c r="C111" s="15" t="n">
        <v>2000</v>
      </c>
      <c r="D111" s="15" t="n">
        <v>2326.69</v>
      </c>
      <c r="E111" s="21" t="n">
        <v>-326.6900000000001</v>
      </c>
      <c r="F111" s="24" t="n">
        <v>116.33</v>
      </c>
      <c r="G111" s="23" t="inlineStr">
        <is>
          <t>YES</t>
        </is>
      </c>
    </row>
    <row r="112">
      <c r="A112" s="10" t="inlineStr">
        <is>
          <t>2023-12</t>
        </is>
      </c>
      <c r="B112" s="3" t="inlineStr">
        <is>
          <t>Education</t>
        </is>
      </c>
      <c r="C112" s="11" t="n">
        <v>2500</v>
      </c>
      <c r="D112" s="11" t="n">
        <v>2897.92</v>
      </c>
      <c r="E112" s="21" t="n">
        <v>-397.9200000000001</v>
      </c>
      <c r="F112" s="24" t="n">
        <v>115.92</v>
      </c>
      <c r="G112" s="23" t="inlineStr">
        <is>
          <t>YES</t>
        </is>
      </c>
    </row>
    <row r="113">
      <c r="A113" s="14" t="inlineStr">
        <is>
          <t>2023-12</t>
        </is>
      </c>
      <c r="B113" s="7" t="inlineStr">
        <is>
          <t>Entertainment</t>
        </is>
      </c>
      <c r="C113" s="15" t="n">
        <v>2000</v>
      </c>
      <c r="D113" s="15" t="n">
        <v>3064.74</v>
      </c>
      <c r="E113" s="21" t="n">
        <v>-1064.74</v>
      </c>
      <c r="F113" s="24" t="n">
        <v>153.24</v>
      </c>
      <c r="G113" s="23" t="inlineStr">
        <is>
          <t>YES</t>
        </is>
      </c>
    </row>
    <row r="114">
      <c r="A114" s="10" t="inlineStr">
        <is>
          <t>2023-12</t>
        </is>
      </c>
      <c r="B114" s="3" t="inlineStr">
        <is>
          <t>Food</t>
        </is>
      </c>
      <c r="C114" s="11" t="n">
        <v>6000</v>
      </c>
      <c r="D114" s="11" t="n">
        <v>6681.49</v>
      </c>
      <c r="E114" s="21" t="n">
        <v>-681.4899999999998</v>
      </c>
      <c r="F114" s="24" t="n">
        <v>111.36</v>
      </c>
      <c r="G114" s="23" t="inlineStr">
        <is>
          <t>YES</t>
        </is>
      </c>
    </row>
    <row r="115">
      <c r="A115" s="14" t="inlineStr">
        <is>
          <t>2023-12</t>
        </is>
      </c>
      <c r="B115" s="7" t="inlineStr">
        <is>
          <t>Healthcare</t>
        </is>
      </c>
      <c r="C115" s="15" t="n">
        <v>2000</v>
      </c>
      <c r="D115" s="15" t="n">
        <v>1525.5</v>
      </c>
      <c r="E115" s="12" t="n">
        <v>474.5</v>
      </c>
      <c r="F115" s="22" t="n">
        <v>76.28</v>
      </c>
      <c r="G115" s="20" t="inlineStr">
        <is>
          <t>NO</t>
        </is>
      </c>
    </row>
    <row r="116">
      <c r="A116" s="10" t="inlineStr">
        <is>
          <t>2023-12</t>
        </is>
      </c>
      <c r="B116" s="3" t="inlineStr">
        <is>
          <t>Housing</t>
        </is>
      </c>
      <c r="C116" s="11" t="n">
        <v>12500</v>
      </c>
      <c r="D116" s="11" t="n">
        <v>11932.14</v>
      </c>
      <c r="E116" s="12" t="n">
        <v>567.8600000000006</v>
      </c>
      <c r="F116" s="19" t="n">
        <v>95.45999999999999</v>
      </c>
      <c r="G116" s="20" t="inlineStr">
        <is>
          <t>NO</t>
        </is>
      </c>
    </row>
    <row r="117">
      <c r="A117" s="14" t="inlineStr">
        <is>
          <t>2023-12</t>
        </is>
      </c>
      <c r="B117" s="7" t="inlineStr">
        <is>
          <t>Miscellaneous</t>
        </is>
      </c>
      <c r="C117" s="15" t="n">
        <v>1500</v>
      </c>
      <c r="D117" s="15" t="n">
        <v>1887.32</v>
      </c>
      <c r="E117" s="21" t="n">
        <v>-387.3199999999999</v>
      </c>
      <c r="F117" s="24" t="n">
        <v>125.82</v>
      </c>
      <c r="G117" s="23" t="inlineStr">
        <is>
          <t>YES</t>
        </is>
      </c>
    </row>
    <row r="118">
      <c r="A118" s="10" t="inlineStr">
        <is>
          <t>2023-12</t>
        </is>
      </c>
      <c r="B118" s="3" t="inlineStr">
        <is>
          <t>Savings</t>
        </is>
      </c>
      <c r="C118" s="11" t="n">
        <v>6000</v>
      </c>
      <c r="D118" s="11" t="n">
        <v>5355.06</v>
      </c>
      <c r="E118" s="12" t="n">
        <v>644.9399999999996</v>
      </c>
      <c r="F118" s="19" t="n">
        <v>89.25</v>
      </c>
      <c r="G118" s="20" t="inlineStr">
        <is>
          <t>NO</t>
        </is>
      </c>
    </row>
    <row r="119">
      <c r="A119" s="14" t="inlineStr">
        <is>
          <t>2023-12</t>
        </is>
      </c>
      <c r="B119" s="7" t="inlineStr">
        <is>
          <t>Shopping</t>
        </is>
      </c>
      <c r="C119" s="15" t="n">
        <v>3500</v>
      </c>
      <c r="D119" s="15" t="n">
        <v>3723.11</v>
      </c>
      <c r="E119" s="21" t="n">
        <v>-223.1100000000001</v>
      </c>
      <c r="F119" s="24" t="n">
        <v>106.37</v>
      </c>
      <c r="G119" s="23" t="inlineStr">
        <is>
          <t>YES</t>
        </is>
      </c>
    </row>
    <row r="120">
      <c r="A120" s="10" t="inlineStr">
        <is>
          <t>2023-12</t>
        </is>
      </c>
      <c r="B120" s="3" t="inlineStr">
        <is>
          <t>Transport</t>
        </is>
      </c>
      <c r="C120" s="11" t="n">
        <v>3000</v>
      </c>
      <c r="D120" s="11" t="n">
        <v>2270.7</v>
      </c>
      <c r="E120" s="12" t="n">
        <v>729.3000000000002</v>
      </c>
      <c r="F120" s="19" t="n">
        <v>75.69</v>
      </c>
      <c r="G120" s="20" t="inlineStr">
        <is>
          <t>NO</t>
        </is>
      </c>
    </row>
    <row r="121">
      <c r="A121" s="14" t="inlineStr">
        <is>
          <t>2023-12</t>
        </is>
      </c>
      <c r="B121" s="7" t="inlineStr">
        <is>
          <t>Utilities</t>
        </is>
      </c>
      <c r="C121" s="15" t="n">
        <v>2000</v>
      </c>
      <c r="D121" s="15" t="n">
        <v>1816.02</v>
      </c>
      <c r="E121" s="12" t="n">
        <v>183.98</v>
      </c>
      <c r="F121" s="22" t="n">
        <v>90.8</v>
      </c>
      <c r="G121" s="20" t="inlineStr">
        <is>
          <t>NO</t>
        </is>
      </c>
    </row>
    <row r="122">
      <c r="A122" s="10" t="inlineStr">
        <is>
          <t>2024-01</t>
        </is>
      </c>
      <c r="B122" s="3" t="inlineStr">
        <is>
          <t>Education</t>
        </is>
      </c>
      <c r="C122" s="11" t="n">
        <v>2500</v>
      </c>
      <c r="D122" s="11" t="n">
        <v>2617.79</v>
      </c>
      <c r="E122" s="21" t="n">
        <v>-117.79</v>
      </c>
      <c r="F122" s="24" t="n">
        <v>104.71</v>
      </c>
      <c r="G122" s="23" t="inlineStr">
        <is>
          <t>YES</t>
        </is>
      </c>
    </row>
    <row r="123">
      <c r="A123" s="14" t="inlineStr">
        <is>
          <t>2024-01</t>
        </is>
      </c>
      <c r="B123" s="7" t="inlineStr">
        <is>
          <t>Entertainment</t>
        </is>
      </c>
      <c r="C123" s="15" t="n">
        <v>2000</v>
      </c>
      <c r="D123" s="15" t="n">
        <v>3180.84</v>
      </c>
      <c r="E123" s="21" t="n">
        <v>-1180.84</v>
      </c>
      <c r="F123" s="24" t="n">
        <v>159.04</v>
      </c>
      <c r="G123" s="23" t="inlineStr">
        <is>
          <t>YES</t>
        </is>
      </c>
    </row>
    <row r="124">
      <c r="A124" s="10" t="inlineStr">
        <is>
          <t>2024-01</t>
        </is>
      </c>
      <c r="B124" s="3" t="inlineStr">
        <is>
          <t>Food</t>
        </is>
      </c>
      <c r="C124" s="11" t="n">
        <v>6000</v>
      </c>
      <c r="D124" s="11" t="n">
        <v>5252.22</v>
      </c>
      <c r="E124" s="12" t="n">
        <v>747.7799999999997</v>
      </c>
      <c r="F124" s="19" t="n">
        <v>87.54000000000001</v>
      </c>
      <c r="G124" s="20" t="inlineStr">
        <is>
          <t>NO</t>
        </is>
      </c>
    </row>
    <row r="125">
      <c r="A125" s="14" t="inlineStr">
        <is>
          <t>2024-01</t>
        </is>
      </c>
      <c r="B125" s="7" t="inlineStr">
        <is>
          <t>Healthcare</t>
        </is>
      </c>
      <c r="C125" s="15" t="n">
        <v>2000</v>
      </c>
      <c r="D125" s="15" t="n">
        <v>1427.47</v>
      </c>
      <c r="E125" s="12" t="n">
        <v>572.53</v>
      </c>
      <c r="F125" s="22" t="n">
        <v>71.37</v>
      </c>
      <c r="G125" s="20" t="inlineStr">
        <is>
          <t>NO</t>
        </is>
      </c>
    </row>
    <row r="126">
      <c r="A126" s="10" t="inlineStr">
        <is>
          <t>2024-01</t>
        </is>
      </c>
      <c r="B126" s="3" t="inlineStr">
        <is>
          <t>Housing</t>
        </is>
      </c>
      <c r="C126" s="11" t="n">
        <v>12500</v>
      </c>
      <c r="D126" s="11" t="n">
        <v>11873.72</v>
      </c>
      <c r="E126" s="12" t="n">
        <v>626.2800000000007</v>
      </c>
      <c r="F126" s="19" t="n">
        <v>94.98999999999999</v>
      </c>
      <c r="G126" s="20" t="inlineStr">
        <is>
          <t>NO</t>
        </is>
      </c>
    </row>
    <row r="127">
      <c r="A127" s="14" t="inlineStr">
        <is>
          <t>2024-01</t>
        </is>
      </c>
      <c r="B127" s="7" t="inlineStr">
        <is>
          <t>Miscellaneous</t>
        </is>
      </c>
      <c r="C127" s="15" t="n">
        <v>1500</v>
      </c>
      <c r="D127" s="15" t="n">
        <v>1733.53</v>
      </c>
      <c r="E127" s="21" t="n">
        <v>-233.53</v>
      </c>
      <c r="F127" s="24" t="n">
        <v>115.57</v>
      </c>
      <c r="G127" s="23" t="inlineStr">
        <is>
          <t>YES</t>
        </is>
      </c>
    </row>
    <row r="128">
      <c r="A128" s="10" t="inlineStr">
        <is>
          <t>2024-01</t>
        </is>
      </c>
      <c r="B128" s="3" t="inlineStr">
        <is>
          <t>Savings</t>
        </is>
      </c>
      <c r="C128" s="11" t="n">
        <v>6000</v>
      </c>
      <c r="D128" s="11" t="n">
        <v>5384.97</v>
      </c>
      <c r="E128" s="12" t="n">
        <v>615.0299999999997</v>
      </c>
      <c r="F128" s="19" t="n">
        <v>89.75</v>
      </c>
      <c r="G128" s="20" t="inlineStr">
        <is>
          <t>NO</t>
        </is>
      </c>
    </row>
    <row r="129">
      <c r="A129" s="14" t="inlineStr">
        <is>
          <t>2024-01</t>
        </is>
      </c>
      <c r="B129" s="7" t="inlineStr">
        <is>
          <t>Shopping</t>
        </is>
      </c>
      <c r="C129" s="15" t="n">
        <v>3500</v>
      </c>
      <c r="D129" s="15" t="n">
        <v>5406.92</v>
      </c>
      <c r="E129" s="21" t="n">
        <v>-1906.92</v>
      </c>
      <c r="F129" s="24" t="n">
        <v>154.48</v>
      </c>
      <c r="G129" s="23" t="inlineStr">
        <is>
          <t>YES</t>
        </is>
      </c>
    </row>
    <row r="130">
      <c r="A130" s="10" t="inlineStr">
        <is>
          <t>2024-01</t>
        </is>
      </c>
      <c r="B130" s="3" t="inlineStr">
        <is>
          <t>Transport</t>
        </is>
      </c>
      <c r="C130" s="11" t="n">
        <v>3000</v>
      </c>
      <c r="D130" s="11" t="n">
        <v>3122.95</v>
      </c>
      <c r="E130" s="21" t="n">
        <v>-122.9499999999998</v>
      </c>
      <c r="F130" s="24" t="n">
        <v>104.1</v>
      </c>
      <c r="G130" s="23" t="inlineStr">
        <is>
          <t>YES</t>
        </is>
      </c>
    </row>
    <row r="131">
      <c r="A131" s="14" t="inlineStr">
        <is>
          <t>2024-01</t>
        </is>
      </c>
      <c r="B131" s="7" t="inlineStr">
        <is>
          <t>Utilities</t>
        </is>
      </c>
      <c r="C131" s="15" t="n">
        <v>2000</v>
      </c>
      <c r="D131" s="15" t="n">
        <v>2359.42</v>
      </c>
      <c r="E131" s="21" t="n">
        <v>-359.4200000000001</v>
      </c>
      <c r="F131" s="24" t="n">
        <v>117.97</v>
      </c>
      <c r="G131" s="23" t="inlineStr">
        <is>
          <t>YES</t>
        </is>
      </c>
    </row>
    <row r="132">
      <c r="A132" s="10" t="inlineStr">
        <is>
          <t>2024-02</t>
        </is>
      </c>
      <c r="B132" s="3" t="inlineStr">
        <is>
          <t>Education</t>
        </is>
      </c>
      <c r="C132" s="11" t="n">
        <v>2500</v>
      </c>
      <c r="D132" s="11" t="n">
        <v>1313.43</v>
      </c>
      <c r="E132" s="12" t="n">
        <v>1186.57</v>
      </c>
      <c r="F132" s="19" t="n">
        <v>52.54</v>
      </c>
      <c r="G132" s="20" t="inlineStr">
        <is>
          <t>NO</t>
        </is>
      </c>
    </row>
    <row r="133">
      <c r="A133" s="14" t="inlineStr">
        <is>
          <t>2024-02</t>
        </is>
      </c>
      <c r="B133" s="7" t="inlineStr">
        <is>
          <t>Entertainment</t>
        </is>
      </c>
      <c r="C133" s="15" t="n">
        <v>2000</v>
      </c>
      <c r="D133" s="15" t="n">
        <v>2466.65</v>
      </c>
      <c r="E133" s="21" t="n">
        <v>-466.6500000000001</v>
      </c>
      <c r="F133" s="24" t="n">
        <v>123.33</v>
      </c>
      <c r="G133" s="23" t="inlineStr">
        <is>
          <t>YES</t>
        </is>
      </c>
    </row>
    <row r="134">
      <c r="A134" s="10" t="inlineStr">
        <is>
          <t>2024-02</t>
        </is>
      </c>
      <c r="B134" s="3" t="inlineStr">
        <is>
          <t>Food</t>
        </is>
      </c>
      <c r="C134" s="11" t="n">
        <v>6000</v>
      </c>
      <c r="D134" s="11" t="n">
        <v>5800.62</v>
      </c>
      <c r="E134" s="12" t="n">
        <v>199.3800000000001</v>
      </c>
      <c r="F134" s="19" t="n">
        <v>96.68000000000001</v>
      </c>
      <c r="G134" s="20" t="inlineStr">
        <is>
          <t>NO</t>
        </is>
      </c>
    </row>
    <row r="135">
      <c r="A135" s="14" t="inlineStr">
        <is>
          <t>2024-02</t>
        </is>
      </c>
      <c r="B135" s="7" t="inlineStr">
        <is>
          <t>Healthcare</t>
        </is>
      </c>
      <c r="C135" s="15" t="n">
        <v>2000</v>
      </c>
      <c r="D135" s="15" t="n">
        <v>767.02</v>
      </c>
      <c r="E135" s="12" t="n">
        <v>1232.98</v>
      </c>
      <c r="F135" s="22" t="n">
        <v>38.35</v>
      </c>
      <c r="G135" s="20" t="inlineStr">
        <is>
          <t>NO</t>
        </is>
      </c>
    </row>
    <row r="136">
      <c r="A136" s="10" t="inlineStr">
        <is>
          <t>2024-02</t>
        </is>
      </c>
      <c r="B136" s="3" t="inlineStr">
        <is>
          <t>Housing</t>
        </is>
      </c>
      <c r="C136" s="11" t="n">
        <v>12500</v>
      </c>
      <c r="D136" s="11" t="n">
        <v>11558.46</v>
      </c>
      <c r="E136" s="12" t="n">
        <v>941.5400000000009</v>
      </c>
      <c r="F136" s="19" t="n">
        <v>92.47</v>
      </c>
      <c r="G136" s="20" t="inlineStr">
        <is>
          <t>NO</t>
        </is>
      </c>
    </row>
    <row r="137">
      <c r="A137" s="14" t="inlineStr">
        <is>
          <t>2024-02</t>
        </is>
      </c>
      <c r="B137" s="7" t="inlineStr">
        <is>
          <t>Miscellaneous</t>
        </is>
      </c>
      <c r="C137" s="15" t="n">
        <v>1500</v>
      </c>
      <c r="D137" s="15" t="n">
        <v>2344.01</v>
      </c>
      <c r="E137" s="21" t="n">
        <v>-844.0100000000002</v>
      </c>
      <c r="F137" s="24" t="n">
        <v>156.27</v>
      </c>
      <c r="G137" s="23" t="inlineStr">
        <is>
          <t>YES</t>
        </is>
      </c>
    </row>
    <row r="138">
      <c r="A138" s="10" t="inlineStr">
        <is>
          <t>2024-02</t>
        </is>
      </c>
      <c r="B138" s="3" t="inlineStr">
        <is>
          <t>Savings</t>
        </is>
      </c>
      <c r="C138" s="11" t="n">
        <v>6000</v>
      </c>
      <c r="D138" s="11" t="n">
        <v>6496.34</v>
      </c>
      <c r="E138" s="21" t="n">
        <v>-496.3400000000001</v>
      </c>
      <c r="F138" s="24" t="n">
        <v>108.27</v>
      </c>
      <c r="G138" s="23" t="inlineStr">
        <is>
          <t>YES</t>
        </is>
      </c>
    </row>
    <row r="139">
      <c r="A139" s="14" t="inlineStr">
        <is>
          <t>2024-02</t>
        </is>
      </c>
      <c r="B139" s="7" t="inlineStr">
        <is>
          <t>Shopping</t>
        </is>
      </c>
      <c r="C139" s="15" t="n">
        <v>3500</v>
      </c>
      <c r="D139" s="15" t="n">
        <v>3891.91</v>
      </c>
      <c r="E139" s="21" t="n">
        <v>-391.9099999999999</v>
      </c>
      <c r="F139" s="24" t="n">
        <v>111.2</v>
      </c>
      <c r="G139" s="23" t="inlineStr">
        <is>
          <t>YES</t>
        </is>
      </c>
    </row>
    <row r="140">
      <c r="A140" s="10" t="inlineStr">
        <is>
          <t>2024-02</t>
        </is>
      </c>
      <c r="B140" s="3" t="inlineStr">
        <is>
          <t>Transport</t>
        </is>
      </c>
      <c r="C140" s="11" t="n">
        <v>3000</v>
      </c>
      <c r="D140" s="11" t="n">
        <v>3938.13</v>
      </c>
      <c r="E140" s="21" t="n">
        <v>-938.1300000000001</v>
      </c>
      <c r="F140" s="24" t="n">
        <v>131.27</v>
      </c>
      <c r="G140" s="23" t="inlineStr">
        <is>
          <t>YES</t>
        </is>
      </c>
    </row>
    <row r="141">
      <c r="A141" s="14" t="inlineStr">
        <is>
          <t>2024-02</t>
        </is>
      </c>
      <c r="B141" s="7" t="inlineStr">
        <is>
          <t>Utilities</t>
        </is>
      </c>
      <c r="C141" s="15" t="n">
        <v>2000</v>
      </c>
      <c r="D141" s="15" t="n">
        <v>2048.24</v>
      </c>
      <c r="E141" s="21" t="n">
        <v>-48.23999999999978</v>
      </c>
      <c r="F141" s="24" t="n">
        <v>102.41</v>
      </c>
      <c r="G141" s="23" t="inlineStr">
        <is>
          <t>YES</t>
        </is>
      </c>
    </row>
    <row r="142">
      <c r="A142" s="10" t="inlineStr">
        <is>
          <t>2024-03</t>
        </is>
      </c>
      <c r="B142" s="3" t="inlineStr">
        <is>
          <t>Education</t>
        </is>
      </c>
      <c r="C142" s="11" t="n">
        <v>2500</v>
      </c>
      <c r="D142" s="11" t="n">
        <v>1880.68</v>
      </c>
      <c r="E142" s="12" t="n">
        <v>619.3199999999999</v>
      </c>
      <c r="F142" s="19" t="n">
        <v>75.23</v>
      </c>
      <c r="G142" s="20" t="inlineStr">
        <is>
          <t>NO</t>
        </is>
      </c>
    </row>
    <row r="143">
      <c r="A143" s="14" t="inlineStr">
        <is>
          <t>2024-03</t>
        </is>
      </c>
      <c r="B143" s="7" t="inlineStr">
        <is>
          <t>Entertainment</t>
        </is>
      </c>
      <c r="C143" s="15" t="n">
        <v>2000</v>
      </c>
      <c r="D143" s="15" t="n">
        <v>2087.24</v>
      </c>
      <c r="E143" s="21" t="n">
        <v>-87.23999999999978</v>
      </c>
      <c r="F143" s="24" t="n">
        <v>104.36</v>
      </c>
      <c r="G143" s="23" t="inlineStr">
        <is>
          <t>YES</t>
        </is>
      </c>
    </row>
    <row r="144">
      <c r="A144" s="10" t="inlineStr">
        <is>
          <t>2024-03</t>
        </is>
      </c>
      <c r="B144" s="3" t="inlineStr">
        <is>
          <t>Food</t>
        </is>
      </c>
      <c r="C144" s="11" t="n">
        <v>6000</v>
      </c>
      <c r="D144" s="11" t="n">
        <v>7571.04</v>
      </c>
      <c r="E144" s="21" t="n">
        <v>-1571.04</v>
      </c>
      <c r="F144" s="24" t="n">
        <v>126.18</v>
      </c>
      <c r="G144" s="23" t="inlineStr">
        <is>
          <t>YES</t>
        </is>
      </c>
    </row>
    <row r="145">
      <c r="A145" s="14" t="inlineStr">
        <is>
          <t>2024-03</t>
        </is>
      </c>
      <c r="B145" s="7" t="inlineStr">
        <is>
          <t>Healthcare</t>
        </is>
      </c>
      <c r="C145" s="15" t="n">
        <v>2000</v>
      </c>
      <c r="D145" s="15" t="n">
        <v>726.39</v>
      </c>
      <c r="E145" s="12" t="n">
        <v>1273.61</v>
      </c>
      <c r="F145" s="22" t="n">
        <v>36.32</v>
      </c>
      <c r="G145" s="20" t="inlineStr">
        <is>
          <t>NO</t>
        </is>
      </c>
    </row>
    <row r="146">
      <c r="A146" s="10" t="inlineStr">
        <is>
          <t>2024-03</t>
        </is>
      </c>
      <c r="B146" s="3" t="inlineStr">
        <is>
          <t>Housing</t>
        </is>
      </c>
      <c r="C146" s="11" t="n">
        <v>12500</v>
      </c>
      <c r="D146" s="11" t="n">
        <v>12090.25</v>
      </c>
      <c r="E146" s="12" t="n">
        <v>409.75</v>
      </c>
      <c r="F146" s="19" t="n">
        <v>96.72</v>
      </c>
      <c r="G146" s="20" t="inlineStr">
        <is>
          <t>NO</t>
        </is>
      </c>
    </row>
    <row r="147">
      <c r="A147" s="14" t="inlineStr">
        <is>
          <t>2024-03</t>
        </is>
      </c>
      <c r="B147" s="7" t="inlineStr">
        <is>
          <t>Miscellaneous</t>
        </is>
      </c>
      <c r="C147" s="15" t="n">
        <v>1500</v>
      </c>
      <c r="D147" s="15" t="n">
        <v>2571.6</v>
      </c>
      <c r="E147" s="21" t="n">
        <v>-1071.6</v>
      </c>
      <c r="F147" s="24" t="n">
        <v>171.44</v>
      </c>
      <c r="G147" s="23" t="inlineStr">
        <is>
          <t>YES</t>
        </is>
      </c>
    </row>
    <row r="148">
      <c r="A148" s="10" t="inlineStr">
        <is>
          <t>2024-03</t>
        </is>
      </c>
      <c r="B148" s="3" t="inlineStr">
        <is>
          <t>Savings</t>
        </is>
      </c>
      <c r="C148" s="11" t="n">
        <v>6000</v>
      </c>
      <c r="D148" s="11" t="n">
        <v>5898.83</v>
      </c>
      <c r="E148" s="12" t="n">
        <v>101.1700000000001</v>
      </c>
      <c r="F148" s="19" t="n">
        <v>98.31</v>
      </c>
      <c r="G148" s="20" t="inlineStr">
        <is>
          <t>NO</t>
        </is>
      </c>
    </row>
    <row r="149">
      <c r="A149" s="14" t="inlineStr">
        <is>
          <t>2024-03</t>
        </is>
      </c>
      <c r="B149" s="7" t="inlineStr">
        <is>
          <t>Shopping</t>
        </is>
      </c>
      <c r="C149" s="15" t="n">
        <v>3500</v>
      </c>
      <c r="D149" s="15" t="n">
        <v>4470.45</v>
      </c>
      <c r="E149" s="21" t="n">
        <v>-970.4499999999998</v>
      </c>
      <c r="F149" s="24" t="n">
        <v>127.73</v>
      </c>
      <c r="G149" s="23" t="inlineStr">
        <is>
          <t>YES</t>
        </is>
      </c>
    </row>
    <row r="150">
      <c r="A150" s="10" t="inlineStr">
        <is>
          <t>2024-03</t>
        </is>
      </c>
      <c r="B150" s="3" t="inlineStr">
        <is>
          <t>Transport</t>
        </is>
      </c>
      <c r="C150" s="11" t="n">
        <v>3000</v>
      </c>
      <c r="D150" s="11" t="n">
        <v>2823.89</v>
      </c>
      <c r="E150" s="12" t="n">
        <v>176.1100000000001</v>
      </c>
      <c r="F150" s="19" t="n">
        <v>94.13</v>
      </c>
      <c r="G150" s="20" t="inlineStr">
        <is>
          <t>NO</t>
        </is>
      </c>
    </row>
    <row r="151">
      <c r="A151" s="14" t="inlineStr">
        <is>
          <t>2024-03</t>
        </is>
      </c>
      <c r="B151" s="7" t="inlineStr">
        <is>
          <t>Utilities</t>
        </is>
      </c>
      <c r="C151" s="15" t="n">
        <v>2000</v>
      </c>
      <c r="D151" s="15" t="n">
        <v>2162.64</v>
      </c>
      <c r="E151" s="21" t="n">
        <v>-162.6399999999999</v>
      </c>
      <c r="F151" s="24" t="n">
        <v>108.13</v>
      </c>
      <c r="G151" s="23" t="inlineStr">
        <is>
          <t>YES</t>
        </is>
      </c>
    </row>
    <row r="152">
      <c r="A152" s="10" t="inlineStr">
        <is>
          <t>2024-04</t>
        </is>
      </c>
      <c r="B152" s="3" t="inlineStr">
        <is>
          <t>Education</t>
        </is>
      </c>
      <c r="C152" s="11" t="n">
        <v>2500</v>
      </c>
      <c r="D152" s="11" t="n">
        <v>1906.52</v>
      </c>
      <c r="E152" s="12" t="n">
        <v>593.48</v>
      </c>
      <c r="F152" s="19" t="n">
        <v>76.26000000000001</v>
      </c>
      <c r="G152" s="20" t="inlineStr">
        <is>
          <t>NO</t>
        </is>
      </c>
    </row>
    <row r="153">
      <c r="A153" s="14" t="inlineStr">
        <is>
          <t>2024-04</t>
        </is>
      </c>
      <c r="B153" s="7" t="inlineStr">
        <is>
          <t>Entertainment</t>
        </is>
      </c>
      <c r="C153" s="15" t="n">
        <v>2000</v>
      </c>
      <c r="D153" s="15" t="n">
        <v>3120.34</v>
      </c>
      <c r="E153" s="21" t="n">
        <v>-1120.34</v>
      </c>
      <c r="F153" s="24" t="n">
        <v>156.02</v>
      </c>
      <c r="G153" s="23" t="inlineStr">
        <is>
          <t>YES</t>
        </is>
      </c>
    </row>
    <row r="154">
      <c r="A154" s="10" t="inlineStr">
        <is>
          <t>2024-04</t>
        </is>
      </c>
      <c r="B154" s="3" t="inlineStr">
        <is>
          <t>Food</t>
        </is>
      </c>
      <c r="C154" s="11" t="n">
        <v>6000</v>
      </c>
      <c r="D154" s="11" t="n">
        <v>8175.29</v>
      </c>
      <c r="E154" s="21" t="n">
        <v>-2175.29</v>
      </c>
      <c r="F154" s="24" t="n">
        <v>136.25</v>
      </c>
      <c r="G154" s="23" t="inlineStr">
        <is>
          <t>YES</t>
        </is>
      </c>
    </row>
    <row r="155">
      <c r="A155" s="14" t="inlineStr">
        <is>
          <t>2024-04</t>
        </is>
      </c>
      <c r="B155" s="7" t="inlineStr">
        <is>
          <t>Healthcare</t>
        </is>
      </c>
      <c r="C155" s="15" t="n">
        <v>2000</v>
      </c>
      <c r="D155" s="15" t="n">
        <v>1866.18</v>
      </c>
      <c r="E155" s="12" t="n">
        <v>133.8199999999999</v>
      </c>
      <c r="F155" s="22" t="n">
        <v>93.31</v>
      </c>
      <c r="G155" s="20" t="inlineStr">
        <is>
          <t>NO</t>
        </is>
      </c>
    </row>
    <row r="156">
      <c r="A156" s="10" t="inlineStr">
        <is>
          <t>2024-04</t>
        </is>
      </c>
      <c r="B156" s="3" t="inlineStr">
        <is>
          <t>Housing</t>
        </is>
      </c>
      <c r="C156" s="11" t="n">
        <v>12500</v>
      </c>
      <c r="D156" s="11" t="n">
        <v>12162.26</v>
      </c>
      <c r="E156" s="12" t="n">
        <v>337.7399999999998</v>
      </c>
      <c r="F156" s="19" t="n">
        <v>97.3</v>
      </c>
      <c r="G156" s="20" t="inlineStr">
        <is>
          <t>NO</t>
        </is>
      </c>
    </row>
    <row r="157">
      <c r="A157" s="14" t="inlineStr">
        <is>
          <t>2024-04</t>
        </is>
      </c>
      <c r="B157" s="7" t="inlineStr">
        <is>
          <t>Miscellaneous</t>
        </is>
      </c>
      <c r="C157" s="15" t="n">
        <v>1500</v>
      </c>
      <c r="D157" s="15" t="n">
        <v>2180.06</v>
      </c>
      <c r="E157" s="21" t="n">
        <v>-680.0599999999999</v>
      </c>
      <c r="F157" s="24" t="n">
        <v>145.34</v>
      </c>
      <c r="G157" s="23" t="inlineStr">
        <is>
          <t>YES</t>
        </is>
      </c>
    </row>
    <row r="158">
      <c r="A158" s="10" t="inlineStr">
        <is>
          <t>2024-04</t>
        </is>
      </c>
      <c r="B158" s="3" t="inlineStr">
        <is>
          <t>Savings</t>
        </is>
      </c>
      <c r="C158" s="11" t="n">
        <v>6000</v>
      </c>
      <c r="D158" s="11" t="n">
        <v>4468.62</v>
      </c>
      <c r="E158" s="12" t="n">
        <v>1531.38</v>
      </c>
      <c r="F158" s="19" t="n">
        <v>74.48</v>
      </c>
      <c r="G158" s="20" t="inlineStr">
        <is>
          <t>NO</t>
        </is>
      </c>
    </row>
    <row r="159">
      <c r="A159" s="14" t="inlineStr">
        <is>
          <t>2024-04</t>
        </is>
      </c>
      <c r="B159" s="7" t="inlineStr">
        <is>
          <t>Shopping</t>
        </is>
      </c>
      <c r="C159" s="15" t="n">
        <v>3500</v>
      </c>
      <c r="D159" s="15" t="n">
        <v>5272.83</v>
      </c>
      <c r="E159" s="21" t="n">
        <v>-1772.83</v>
      </c>
      <c r="F159" s="24" t="n">
        <v>150.65</v>
      </c>
      <c r="G159" s="23" t="inlineStr">
        <is>
          <t>YES</t>
        </is>
      </c>
    </row>
    <row r="160">
      <c r="A160" s="10" t="inlineStr">
        <is>
          <t>2024-04</t>
        </is>
      </c>
      <c r="B160" s="3" t="inlineStr">
        <is>
          <t>Transport</t>
        </is>
      </c>
      <c r="C160" s="11" t="n">
        <v>3000</v>
      </c>
      <c r="D160" s="11" t="n">
        <v>3254.04</v>
      </c>
      <c r="E160" s="21" t="n">
        <v>-254.04</v>
      </c>
      <c r="F160" s="24" t="n">
        <v>108.47</v>
      </c>
      <c r="G160" s="23" t="inlineStr">
        <is>
          <t>YES</t>
        </is>
      </c>
    </row>
    <row r="161">
      <c r="A161" s="14" t="inlineStr">
        <is>
          <t>2024-04</t>
        </is>
      </c>
      <c r="B161" s="7" t="inlineStr">
        <is>
          <t>Utilities</t>
        </is>
      </c>
      <c r="C161" s="15" t="n">
        <v>2000</v>
      </c>
      <c r="D161" s="15" t="n">
        <v>2271.25</v>
      </c>
      <c r="E161" s="21" t="n">
        <v>-271.25</v>
      </c>
      <c r="F161" s="24" t="n">
        <v>113.56</v>
      </c>
      <c r="G161" s="23" t="inlineStr">
        <is>
          <t>YES</t>
        </is>
      </c>
    </row>
    <row r="162">
      <c r="A162" s="10" t="inlineStr">
        <is>
          <t>2024-05</t>
        </is>
      </c>
      <c r="B162" s="3" t="inlineStr">
        <is>
          <t>Education</t>
        </is>
      </c>
      <c r="C162" s="11" t="n">
        <v>2500</v>
      </c>
      <c r="D162" s="11" t="n">
        <v>1432.02</v>
      </c>
      <c r="E162" s="12" t="n">
        <v>1067.98</v>
      </c>
      <c r="F162" s="19" t="n">
        <v>57.28</v>
      </c>
      <c r="G162" s="20" t="inlineStr">
        <is>
          <t>NO</t>
        </is>
      </c>
    </row>
    <row r="163">
      <c r="A163" s="14" t="inlineStr">
        <is>
          <t>2024-05</t>
        </is>
      </c>
      <c r="B163" s="7" t="inlineStr">
        <is>
          <t>Entertainment</t>
        </is>
      </c>
      <c r="C163" s="15" t="n">
        <v>2000</v>
      </c>
      <c r="D163" s="15" t="n">
        <v>2122.18</v>
      </c>
      <c r="E163" s="21" t="n">
        <v>-122.1799999999998</v>
      </c>
      <c r="F163" s="24" t="n">
        <v>106.11</v>
      </c>
      <c r="G163" s="23" t="inlineStr">
        <is>
          <t>YES</t>
        </is>
      </c>
    </row>
    <row r="164">
      <c r="A164" s="10" t="inlineStr">
        <is>
          <t>2024-05</t>
        </is>
      </c>
      <c r="B164" s="3" t="inlineStr">
        <is>
          <t>Food</t>
        </is>
      </c>
      <c r="C164" s="11" t="n">
        <v>6000</v>
      </c>
      <c r="D164" s="11" t="n">
        <v>4624.22</v>
      </c>
      <c r="E164" s="12" t="n">
        <v>1375.78</v>
      </c>
      <c r="F164" s="19" t="n">
        <v>77.06999999999999</v>
      </c>
      <c r="G164" s="20" t="inlineStr">
        <is>
          <t>NO</t>
        </is>
      </c>
    </row>
    <row r="165">
      <c r="A165" s="14" t="inlineStr">
        <is>
          <t>2024-05</t>
        </is>
      </c>
      <c r="B165" s="7" t="inlineStr">
        <is>
          <t>Healthcare</t>
        </is>
      </c>
      <c r="C165" s="15" t="n">
        <v>2000</v>
      </c>
      <c r="D165" s="15" t="n">
        <v>2414.67</v>
      </c>
      <c r="E165" s="21" t="n">
        <v>-414.6700000000001</v>
      </c>
      <c r="F165" s="24" t="n">
        <v>120.73</v>
      </c>
      <c r="G165" s="23" t="inlineStr">
        <is>
          <t>YES</t>
        </is>
      </c>
    </row>
    <row r="166">
      <c r="A166" s="10" t="inlineStr">
        <is>
          <t>2024-05</t>
        </is>
      </c>
      <c r="B166" s="3" t="inlineStr">
        <is>
          <t>Housing</t>
        </is>
      </c>
      <c r="C166" s="11" t="n">
        <v>12500</v>
      </c>
      <c r="D166" s="11" t="n">
        <v>11637.83</v>
      </c>
      <c r="E166" s="12" t="n">
        <v>862.1700000000001</v>
      </c>
      <c r="F166" s="19" t="n">
        <v>93.09999999999999</v>
      </c>
      <c r="G166" s="20" t="inlineStr">
        <is>
          <t>NO</t>
        </is>
      </c>
    </row>
    <row r="167">
      <c r="A167" s="14" t="inlineStr">
        <is>
          <t>2024-05</t>
        </is>
      </c>
      <c r="B167" s="7" t="inlineStr">
        <is>
          <t>Miscellaneous</t>
        </is>
      </c>
      <c r="C167" s="15" t="n">
        <v>1500</v>
      </c>
      <c r="D167" s="15" t="n">
        <v>1642.59</v>
      </c>
      <c r="E167" s="21" t="n">
        <v>-142.5899999999999</v>
      </c>
      <c r="F167" s="24" t="n">
        <v>109.51</v>
      </c>
      <c r="G167" s="23" t="inlineStr">
        <is>
          <t>YES</t>
        </is>
      </c>
    </row>
    <row r="168">
      <c r="A168" s="10" t="inlineStr">
        <is>
          <t>2024-05</t>
        </is>
      </c>
      <c r="B168" s="3" t="inlineStr">
        <is>
          <t>Savings</t>
        </is>
      </c>
      <c r="C168" s="11" t="n">
        <v>6000</v>
      </c>
      <c r="D168" s="11" t="n">
        <v>4865.54</v>
      </c>
      <c r="E168" s="12" t="n">
        <v>1134.46</v>
      </c>
      <c r="F168" s="19" t="n">
        <v>81.09</v>
      </c>
      <c r="G168" s="20" t="inlineStr">
        <is>
          <t>NO</t>
        </is>
      </c>
    </row>
    <row r="169">
      <c r="A169" s="14" t="inlineStr">
        <is>
          <t>2024-05</t>
        </is>
      </c>
      <c r="B169" s="7" t="inlineStr">
        <is>
          <t>Shopping</t>
        </is>
      </c>
      <c r="C169" s="15" t="n">
        <v>3500</v>
      </c>
      <c r="D169" s="15" t="n">
        <v>5630.58</v>
      </c>
      <c r="E169" s="21" t="n">
        <v>-2130.58</v>
      </c>
      <c r="F169" s="24" t="n">
        <v>160.87</v>
      </c>
      <c r="G169" s="23" t="inlineStr">
        <is>
          <t>YES</t>
        </is>
      </c>
    </row>
    <row r="170">
      <c r="A170" s="10" t="inlineStr">
        <is>
          <t>2024-05</t>
        </is>
      </c>
      <c r="B170" s="3" t="inlineStr">
        <is>
          <t>Transport</t>
        </is>
      </c>
      <c r="C170" s="11" t="n">
        <v>3000</v>
      </c>
      <c r="D170" s="11" t="n">
        <v>3711.17</v>
      </c>
      <c r="E170" s="21" t="n">
        <v>-711.1700000000001</v>
      </c>
      <c r="F170" s="24" t="n">
        <v>123.71</v>
      </c>
      <c r="G170" s="23" t="inlineStr">
        <is>
          <t>YES</t>
        </is>
      </c>
    </row>
    <row r="171">
      <c r="A171" s="14" t="inlineStr">
        <is>
          <t>2024-05</t>
        </is>
      </c>
      <c r="B171" s="7" t="inlineStr">
        <is>
          <t>Utilities</t>
        </is>
      </c>
      <c r="C171" s="15" t="n">
        <v>2000</v>
      </c>
      <c r="D171" s="15" t="n">
        <v>2114.1</v>
      </c>
      <c r="E171" s="21" t="n">
        <v>-114.0999999999999</v>
      </c>
      <c r="F171" s="24" t="n">
        <v>105.7</v>
      </c>
      <c r="G171" s="23" t="inlineStr">
        <is>
          <t>YES</t>
        </is>
      </c>
    </row>
    <row r="172">
      <c r="A172" s="10" t="inlineStr">
        <is>
          <t>2024-06</t>
        </is>
      </c>
      <c r="B172" s="3" t="inlineStr">
        <is>
          <t>Education</t>
        </is>
      </c>
      <c r="C172" s="11" t="n">
        <v>2500</v>
      </c>
      <c r="D172" s="11" t="n">
        <v>2635.66</v>
      </c>
      <c r="E172" s="21" t="n">
        <v>-135.6599999999999</v>
      </c>
      <c r="F172" s="24" t="n">
        <v>105.43</v>
      </c>
      <c r="G172" s="23" t="inlineStr">
        <is>
          <t>YES</t>
        </is>
      </c>
    </row>
    <row r="173">
      <c r="A173" s="14" t="inlineStr">
        <is>
          <t>2024-06</t>
        </is>
      </c>
      <c r="B173" s="7" t="inlineStr">
        <is>
          <t>Entertainment</t>
        </is>
      </c>
      <c r="C173" s="15" t="n">
        <v>2000</v>
      </c>
      <c r="D173" s="15" t="n">
        <v>2028.61</v>
      </c>
      <c r="E173" s="21" t="n">
        <v>-28.6099999999999</v>
      </c>
      <c r="F173" s="24" t="n">
        <v>101.43</v>
      </c>
      <c r="G173" s="23" t="inlineStr">
        <is>
          <t>YES</t>
        </is>
      </c>
    </row>
    <row r="174">
      <c r="A174" s="10" t="inlineStr">
        <is>
          <t>2024-06</t>
        </is>
      </c>
      <c r="B174" s="3" t="inlineStr">
        <is>
          <t>Food</t>
        </is>
      </c>
      <c r="C174" s="11" t="n">
        <v>6000</v>
      </c>
      <c r="D174" s="11" t="n">
        <v>9000.83</v>
      </c>
      <c r="E174" s="21" t="n">
        <v>-3000.83</v>
      </c>
      <c r="F174" s="24" t="n">
        <v>150.01</v>
      </c>
      <c r="G174" s="23" t="inlineStr">
        <is>
          <t>YES</t>
        </is>
      </c>
    </row>
    <row r="175">
      <c r="A175" s="14" t="inlineStr">
        <is>
          <t>2024-06</t>
        </is>
      </c>
      <c r="B175" s="7" t="inlineStr">
        <is>
          <t>Healthcare</t>
        </is>
      </c>
      <c r="C175" s="15" t="n">
        <v>2000</v>
      </c>
      <c r="D175" s="15" t="n">
        <v>1319.52</v>
      </c>
      <c r="E175" s="12" t="n">
        <v>680.48</v>
      </c>
      <c r="F175" s="22" t="n">
        <v>65.98</v>
      </c>
      <c r="G175" s="20" t="inlineStr">
        <is>
          <t>NO</t>
        </is>
      </c>
    </row>
    <row r="176">
      <c r="A176" s="10" t="inlineStr">
        <is>
          <t>2024-06</t>
        </is>
      </c>
      <c r="B176" s="3" t="inlineStr">
        <is>
          <t>Housing</t>
        </is>
      </c>
      <c r="C176" s="11" t="n">
        <v>12500</v>
      </c>
      <c r="D176" s="11" t="n">
        <v>11551.38</v>
      </c>
      <c r="E176" s="12" t="n">
        <v>948.6200000000008</v>
      </c>
      <c r="F176" s="19" t="n">
        <v>92.41</v>
      </c>
      <c r="G176" s="20" t="inlineStr">
        <is>
          <t>NO</t>
        </is>
      </c>
    </row>
    <row r="177">
      <c r="A177" s="14" t="inlineStr">
        <is>
          <t>2024-06</t>
        </is>
      </c>
      <c r="B177" s="7" t="inlineStr">
        <is>
          <t>Miscellaneous</t>
        </is>
      </c>
      <c r="C177" s="15" t="n">
        <v>1500</v>
      </c>
      <c r="D177" s="15" t="n">
        <v>1745.96</v>
      </c>
      <c r="E177" s="21" t="n">
        <v>-245.96</v>
      </c>
      <c r="F177" s="24" t="n">
        <v>116.4</v>
      </c>
      <c r="G177" s="23" t="inlineStr">
        <is>
          <t>YES</t>
        </is>
      </c>
    </row>
    <row r="178">
      <c r="A178" s="10" t="inlineStr">
        <is>
          <t>2024-06</t>
        </is>
      </c>
      <c r="B178" s="3" t="inlineStr">
        <is>
          <t>Savings</t>
        </is>
      </c>
      <c r="C178" s="11" t="n">
        <v>6000</v>
      </c>
      <c r="D178" s="11" t="n">
        <v>4281.27</v>
      </c>
      <c r="E178" s="12" t="n">
        <v>1718.73</v>
      </c>
      <c r="F178" s="19" t="n">
        <v>71.34999999999999</v>
      </c>
      <c r="G178" s="20" t="inlineStr">
        <is>
          <t>NO</t>
        </is>
      </c>
    </row>
    <row r="179">
      <c r="A179" s="14" t="inlineStr">
        <is>
          <t>2024-06</t>
        </is>
      </c>
      <c r="B179" s="7" t="inlineStr">
        <is>
          <t>Shopping</t>
        </is>
      </c>
      <c r="C179" s="15" t="n">
        <v>3500</v>
      </c>
      <c r="D179" s="15" t="n">
        <v>4211.95</v>
      </c>
      <c r="E179" s="21" t="n">
        <v>-711.9499999999998</v>
      </c>
      <c r="F179" s="24" t="n">
        <v>120.34</v>
      </c>
      <c r="G179" s="23" t="inlineStr">
        <is>
          <t>YES</t>
        </is>
      </c>
    </row>
    <row r="180">
      <c r="A180" s="10" t="inlineStr">
        <is>
          <t>2024-06</t>
        </is>
      </c>
      <c r="B180" s="3" t="inlineStr">
        <is>
          <t>Transport</t>
        </is>
      </c>
      <c r="C180" s="11" t="n">
        <v>3000</v>
      </c>
      <c r="D180" s="11" t="n">
        <v>3114.03</v>
      </c>
      <c r="E180" s="21" t="n">
        <v>-114.0300000000002</v>
      </c>
      <c r="F180" s="24" t="n">
        <v>103.8</v>
      </c>
      <c r="G180" s="23" t="inlineStr">
        <is>
          <t>YES</t>
        </is>
      </c>
    </row>
    <row r="181">
      <c r="A181" s="14" t="inlineStr">
        <is>
          <t>2024-06</t>
        </is>
      </c>
      <c r="B181" s="7" t="inlineStr">
        <is>
          <t>Utilities</t>
        </is>
      </c>
      <c r="C181" s="15" t="n">
        <v>2000</v>
      </c>
      <c r="D181" s="15" t="n">
        <v>1701.96</v>
      </c>
      <c r="E181" s="12" t="n">
        <v>298.04</v>
      </c>
      <c r="F181" s="22" t="n">
        <v>85.09999999999999</v>
      </c>
      <c r="G181" s="20" t="inlineStr">
        <is>
          <t>NO</t>
        </is>
      </c>
    </row>
    <row r="182">
      <c r="A182" s="10" t="inlineStr">
        <is>
          <t>2024-07</t>
        </is>
      </c>
      <c r="B182" s="3" t="inlineStr">
        <is>
          <t>Education</t>
        </is>
      </c>
      <c r="C182" s="11" t="n">
        <v>2500</v>
      </c>
      <c r="D182" s="11" t="n">
        <v>1850</v>
      </c>
      <c r="E182" s="12" t="n">
        <v>650</v>
      </c>
      <c r="F182" s="19" t="n">
        <v>74</v>
      </c>
      <c r="G182" s="20" t="inlineStr">
        <is>
          <t>NO</t>
        </is>
      </c>
    </row>
    <row r="183">
      <c r="A183" s="14" t="inlineStr">
        <is>
          <t>2024-07</t>
        </is>
      </c>
      <c r="B183" s="7" t="inlineStr">
        <is>
          <t>Entertainment</t>
        </is>
      </c>
      <c r="C183" s="15" t="n">
        <v>2000</v>
      </c>
      <c r="D183" s="15" t="n">
        <v>3682.47</v>
      </c>
      <c r="E183" s="21" t="n">
        <v>-1682.47</v>
      </c>
      <c r="F183" s="24" t="n">
        <v>184.12</v>
      </c>
      <c r="G183" s="23" t="inlineStr">
        <is>
          <t>YES</t>
        </is>
      </c>
    </row>
    <row r="184">
      <c r="A184" s="10" t="inlineStr">
        <is>
          <t>2024-07</t>
        </is>
      </c>
      <c r="B184" s="3" t="inlineStr">
        <is>
          <t>Food</t>
        </is>
      </c>
      <c r="C184" s="11" t="n">
        <v>6000</v>
      </c>
      <c r="D184" s="11" t="n">
        <v>8951.66</v>
      </c>
      <c r="E184" s="21" t="n">
        <v>-2951.66</v>
      </c>
      <c r="F184" s="24" t="n">
        <v>149.19</v>
      </c>
      <c r="G184" s="23" t="inlineStr">
        <is>
          <t>YES</t>
        </is>
      </c>
    </row>
    <row r="185">
      <c r="A185" s="14" t="inlineStr">
        <is>
          <t>2024-07</t>
        </is>
      </c>
      <c r="B185" s="7" t="inlineStr">
        <is>
          <t>Healthcare</t>
        </is>
      </c>
      <c r="C185" s="15" t="n">
        <v>2000</v>
      </c>
      <c r="D185" s="15" t="n">
        <v>1424.66</v>
      </c>
      <c r="E185" s="12" t="n">
        <v>575.3399999999999</v>
      </c>
      <c r="F185" s="22" t="n">
        <v>71.23</v>
      </c>
      <c r="G185" s="20" t="inlineStr">
        <is>
          <t>NO</t>
        </is>
      </c>
    </row>
    <row r="186">
      <c r="A186" s="10" t="inlineStr">
        <is>
          <t>2024-07</t>
        </is>
      </c>
      <c r="B186" s="3" t="inlineStr">
        <is>
          <t>Housing</t>
        </is>
      </c>
      <c r="C186" s="11" t="n">
        <v>12500</v>
      </c>
      <c r="D186" s="11" t="n">
        <v>12370.98</v>
      </c>
      <c r="E186" s="12" t="n">
        <v>129.0200000000004</v>
      </c>
      <c r="F186" s="19" t="n">
        <v>98.97</v>
      </c>
      <c r="G186" s="20" t="inlineStr">
        <is>
          <t>NO</t>
        </is>
      </c>
    </row>
    <row r="187">
      <c r="A187" s="14" t="inlineStr">
        <is>
          <t>2024-07</t>
        </is>
      </c>
      <c r="B187" s="7" t="inlineStr">
        <is>
          <t>Miscellaneous</t>
        </is>
      </c>
      <c r="C187" s="15" t="n">
        <v>1500</v>
      </c>
      <c r="D187" s="15" t="n">
        <v>1800.53</v>
      </c>
      <c r="E187" s="21" t="n">
        <v>-300.53</v>
      </c>
      <c r="F187" s="24" t="n">
        <v>120.04</v>
      </c>
      <c r="G187" s="23" t="inlineStr">
        <is>
          <t>YES</t>
        </is>
      </c>
    </row>
    <row r="188">
      <c r="A188" s="10" t="inlineStr">
        <is>
          <t>2024-07</t>
        </is>
      </c>
      <c r="B188" s="3" t="inlineStr">
        <is>
          <t>Savings</t>
        </is>
      </c>
      <c r="C188" s="11" t="n">
        <v>6000</v>
      </c>
      <c r="D188" s="11" t="n">
        <v>6276.91</v>
      </c>
      <c r="E188" s="21" t="n">
        <v>-276.9099999999999</v>
      </c>
      <c r="F188" s="24" t="n">
        <v>104.62</v>
      </c>
      <c r="G188" s="23" t="inlineStr">
        <is>
          <t>YES</t>
        </is>
      </c>
    </row>
    <row r="189">
      <c r="A189" s="14" t="inlineStr">
        <is>
          <t>2024-07</t>
        </is>
      </c>
      <c r="B189" s="7" t="inlineStr">
        <is>
          <t>Shopping</t>
        </is>
      </c>
      <c r="C189" s="15" t="n">
        <v>3500</v>
      </c>
      <c r="D189" s="15" t="n">
        <v>4862.42</v>
      </c>
      <c r="E189" s="21" t="n">
        <v>-1362.42</v>
      </c>
      <c r="F189" s="24" t="n">
        <v>138.93</v>
      </c>
      <c r="G189" s="23" t="inlineStr">
        <is>
          <t>YES</t>
        </is>
      </c>
    </row>
    <row r="190">
      <c r="A190" s="10" t="inlineStr">
        <is>
          <t>2024-07</t>
        </is>
      </c>
      <c r="B190" s="3" t="inlineStr">
        <is>
          <t>Transport</t>
        </is>
      </c>
      <c r="C190" s="11" t="n">
        <v>3000</v>
      </c>
      <c r="D190" s="11" t="n">
        <v>3907.66</v>
      </c>
      <c r="E190" s="21" t="n">
        <v>-907.6599999999999</v>
      </c>
      <c r="F190" s="24" t="n">
        <v>130.26</v>
      </c>
      <c r="G190" s="23" t="inlineStr">
        <is>
          <t>YES</t>
        </is>
      </c>
    </row>
    <row r="191">
      <c r="A191" s="14" t="inlineStr">
        <is>
          <t>2024-07</t>
        </is>
      </c>
      <c r="B191" s="7" t="inlineStr">
        <is>
          <t>Utilities</t>
        </is>
      </c>
      <c r="C191" s="15" t="n">
        <v>2000</v>
      </c>
      <c r="D191" s="15" t="n">
        <v>2054.69</v>
      </c>
      <c r="E191" s="21" t="n">
        <v>-54.69000000000005</v>
      </c>
      <c r="F191" s="24" t="n">
        <v>102.73</v>
      </c>
      <c r="G191" s="23" t="inlineStr">
        <is>
          <t>YES</t>
        </is>
      </c>
    </row>
    <row r="192">
      <c r="A192" s="10" t="inlineStr">
        <is>
          <t>2024-08</t>
        </is>
      </c>
      <c r="B192" s="3" t="inlineStr">
        <is>
          <t>Education</t>
        </is>
      </c>
      <c r="C192" s="11" t="n">
        <v>2500</v>
      </c>
      <c r="D192" s="11" t="n">
        <v>2536.84</v>
      </c>
      <c r="E192" s="21" t="n">
        <v>-36.84000000000015</v>
      </c>
      <c r="F192" s="24" t="n">
        <v>101.47</v>
      </c>
      <c r="G192" s="23" t="inlineStr">
        <is>
          <t>YES</t>
        </is>
      </c>
    </row>
    <row r="193">
      <c r="A193" s="14" t="inlineStr">
        <is>
          <t>2024-08</t>
        </is>
      </c>
      <c r="B193" s="7" t="inlineStr">
        <is>
          <t>Entertainment</t>
        </is>
      </c>
      <c r="C193" s="15" t="n">
        <v>2000</v>
      </c>
      <c r="D193" s="15" t="n">
        <v>3164.6</v>
      </c>
      <c r="E193" s="21" t="n">
        <v>-1164.6</v>
      </c>
      <c r="F193" s="24" t="n">
        <v>158.23</v>
      </c>
      <c r="G193" s="23" t="inlineStr">
        <is>
          <t>YES</t>
        </is>
      </c>
    </row>
    <row r="194">
      <c r="A194" s="10" t="inlineStr">
        <is>
          <t>2024-08</t>
        </is>
      </c>
      <c r="B194" s="3" t="inlineStr">
        <is>
          <t>Food</t>
        </is>
      </c>
      <c r="C194" s="11" t="n">
        <v>6000</v>
      </c>
      <c r="D194" s="11" t="n">
        <v>6695.92</v>
      </c>
      <c r="E194" s="21" t="n">
        <v>-695.9200000000001</v>
      </c>
      <c r="F194" s="24" t="n">
        <v>111.6</v>
      </c>
      <c r="G194" s="23" t="inlineStr">
        <is>
          <t>YES</t>
        </is>
      </c>
    </row>
    <row r="195">
      <c r="A195" s="14" t="inlineStr">
        <is>
          <t>2024-08</t>
        </is>
      </c>
      <c r="B195" s="7" t="inlineStr">
        <is>
          <t>Healthcare</t>
        </is>
      </c>
      <c r="C195" s="15" t="n">
        <v>2000</v>
      </c>
      <c r="D195" s="15" t="n">
        <v>1585.39</v>
      </c>
      <c r="E195" s="12" t="n">
        <v>414.6099999999999</v>
      </c>
      <c r="F195" s="22" t="n">
        <v>79.27</v>
      </c>
      <c r="G195" s="20" t="inlineStr">
        <is>
          <t>NO</t>
        </is>
      </c>
    </row>
    <row r="196">
      <c r="A196" s="10" t="inlineStr">
        <is>
          <t>2024-08</t>
        </is>
      </c>
      <c r="B196" s="3" t="inlineStr">
        <is>
          <t>Housing</t>
        </is>
      </c>
      <c r="C196" s="11" t="n">
        <v>12500</v>
      </c>
      <c r="D196" s="11" t="n">
        <v>11671.74</v>
      </c>
      <c r="E196" s="12" t="n">
        <v>828.2600000000002</v>
      </c>
      <c r="F196" s="19" t="n">
        <v>93.37</v>
      </c>
      <c r="G196" s="20" t="inlineStr">
        <is>
          <t>NO</t>
        </is>
      </c>
    </row>
    <row r="197">
      <c r="A197" s="14" t="inlineStr">
        <is>
          <t>2024-08</t>
        </is>
      </c>
      <c r="B197" s="7" t="inlineStr">
        <is>
          <t>Miscellaneous</t>
        </is>
      </c>
      <c r="C197" s="15" t="n">
        <v>1500</v>
      </c>
      <c r="D197" s="15" t="n">
        <v>2137</v>
      </c>
      <c r="E197" s="21" t="n">
        <v>-637</v>
      </c>
      <c r="F197" s="24" t="n">
        <v>142.47</v>
      </c>
      <c r="G197" s="23" t="inlineStr">
        <is>
          <t>YES</t>
        </is>
      </c>
    </row>
    <row r="198">
      <c r="A198" s="10" t="inlineStr">
        <is>
          <t>2024-08</t>
        </is>
      </c>
      <c r="B198" s="3" t="inlineStr">
        <is>
          <t>Savings</t>
        </is>
      </c>
      <c r="C198" s="11" t="n">
        <v>6000</v>
      </c>
      <c r="D198" s="11" t="n">
        <v>6288.46</v>
      </c>
      <c r="E198" s="21" t="n">
        <v>-288.46</v>
      </c>
      <c r="F198" s="24" t="n">
        <v>104.81</v>
      </c>
      <c r="G198" s="23" t="inlineStr">
        <is>
          <t>YES</t>
        </is>
      </c>
    </row>
    <row r="199">
      <c r="A199" s="14" t="inlineStr">
        <is>
          <t>2024-08</t>
        </is>
      </c>
      <c r="B199" s="7" t="inlineStr">
        <is>
          <t>Shopping</t>
        </is>
      </c>
      <c r="C199" s="15" t="n">
        <v>3500</v>
      </c>
      <c r="D199" s="15" t="n">
        <v>5979.55</v>
      </c>
      <c r="E199" s="21" t="n">
        <v>-2479.55</v>
      </c>
      <c r="F199" s="24" t="n">
        <v>170.84</v>
      </c>
      <c r="G199" s="23" t="inlineStr">
        <is>
          <t>YES</t>
        </is>
      </c>
    </row>
    <row r="200">
      <c r="A200" s="10" t="inlineStr">
        <is>
          <t>2024-08</t>
        </is>
      </c>
      <c r="B200" s="3" t="inlineStr">
        <is>
          <t>Transport</t>
        </is>
      </c>
      <c r="C200" s="11" t="n">
        <v>3000</v>
      </c>
      <c r="D200" s="11" t="n">
        <v>1113.1</v>
      </c>
      <c r="E200" s="12" t="n">
        <v>1886.9</v>
      </c>
      <c r="F200" s="19" t="n">
        <v>37.1</v>
      </c>
      <c r="G200" s="20" t="inlineStr">
        <is>
          <t>NO</t>
        </is>
      </c>
    </row>
    <row r="201">
      <c r="A201" s="14" t="inlineStr">
        <is>
          <t>2024-08</t>
        </is>
      </c>
      <c r="B201" s="7" t="inlineStr">
        <is>
          <t>Utilities</t>
        </is>
      </c>
      <c r="C201" s="15" t="n">
        <v>2000</v>
      </c>
      <c r="D201" s="15" t="n">
        <v>2357.56</v>
      </c>
      <c r="E201" s="21" t="n">
        <v>-357.5599999999999</v>
      </c>
      <c r="F201" s="24" t="n">
        <v>117.88</v>
      </c>
      <c r="G201" s="23" t="inlineStr">
        <is>
          <t>YES</t>
        </is>
      </c>
    </row>
    <row r="202">
      <c r="A202" s="10" t="inlineStr">
        <is>
          <t>2024-09</t>
        </is>
      </c>
      <c r="B202" s="3" t="inlineStr">
        <is>
          <t>Education</t>
        </is>
      </c>
      <c r="C202" s="11" t="n">
        <v>2500</v>
      </c>
      <c r="D202" s="11" t="n">
        <v>2482.37</v>
      </c>
      <c r="E202" s="12" t="n">
        <v>17.63000000000011</v>
      </c>
      <c r="F202" s="19" t="n">
        <v>99.29000000000001</v>
      </c>
      <c r="G202" s="20" t="inlineStr">
        <is>
          <t>NO</t>
        </is>
      </c>
    </row>
    <row r="203">
      <c r="A203" s="14" t="inlineStr">
        <is>
          <t>2024-09</t>
        </is>
      </c>
      <c r="B203" s="7" t="inlineStr">
        <is>
          <t>Entertainment</t>
        </is>
      </c>
      <c r="C203" s="15" t="n">
        <v>2000</v>
      </c>
      <c r="D203" s="15" t="n">
        <v>1433.79</v>
      </c>
      <c r="E203" s="12" t="n">
        <v>566.21</v>
      </c>
      <c r="F203" s="22" t="n">
        <v>71.69</v>
      </c>
      <c r="G203" s="20" t="inlineStr">
        <is>
          <t>NO</t>
        </is>
      </c>
    </row>
    <row r="204">
      <c r="A204" s="10" t="inlineStr">
        <is>
          <t>2024-09</t>
        </is>
      </c>
      <c r="B204" s="3" t="inlineStr">
        <is>
          <t>Food</t>
        </is>
      </c>
      <c r="C204" s="11" t="n">
        <v>6000</v>
      </c>
      <c r="D204" s="11" t="n">
        <v>8461.299999999999</v>
      </c>
      <c r="E204" s="21" t="n">
        <v>-2461.299999999999</v>
      </c>
      <c r="F204" s="24" t="n">
        <v>141.02</v>
      </c>
      <c r="G204" s="23" t="inlineStr">
        <is>
          <t>YES</t>
        </is>
      </c>
    </row>
    <row r="205">
      <c r="A205" s="14" t="inlineStr">
        <is>
          <t>2024-09</t>
        </is>
      </c>
      <c r="B205" s="7" t="inlineStr">
        <is>
          <t>Healthcare</t>
        </is>
      </c>
      <c r="C205" s="15" t="n">
        <v>2000</v>
      </c>
      <c r="D205" s="15" t="n">
        <v>2316.59</v>
      </c>
      <c r="E205" s="21" t="n">
        <v>-316.5900000000001</v>
      </c>
      <c r="F205" s="24" t="n">
        <v>115.83</v>
      </c>
      <c r="G205" s="23" t="inlineStr">
        <is>
          <t>YES</t>
        </is>
      </c>
    </row>
    <row r="206">
      <c r="A206" s="10" t="inlineStr">
        <is>
          <t>2024-09</t>
        </is>
      </c>
      <c r="B206" s="3" t="inlineStr">
        <is>
          <t>Housing</t>
        </is>
      </c>
      <c r="C206" s="11" t="n">
        <v>12500</v>
      </c>
      <c r="D206" s="11" t="n">
        <v>10985.38</v>
      </c>
      <c r="E206" s="12" t="n">
        <v>1514.620000000001</v>
      </c>
      <c r="F206" s="19" t="n">
        <v>87.88</v>
      </c>
      <c r="G206" s="20" t="inlineStr">
        <is>
          <t>NO</t>
        </is>
      </c>
    </row>
    <row r="207">
      <c r="A207" s="14" t="inlineStr">
        <is>
          <t>2024-09</t>
        </is>
      </c>
      <c r="B207" s="7" t="inlineStr">
        <is>
          <t>Miscellaneous</t>
        </is>
      </c>
      <c r="C207" s="15" t="n">
        <v>1500</v>
      </c>
      <c r="D207" s="15" t="n">
        <v>1043.94</v>
      </c>
      <c r="E207" s="12" t="n">
        <v>456.0599999999999</v>
      </c>
      <c r="F207" s="22" t="n">
        <v>69.59999999999999</v>
      </c>
      <c r="G207" s="20" t="inlineStr">
        <is>
          <t>NO</t>
        </is>
      </c>
    </row>
    <row r="208">
      <c r="A208" s="10" t="inlineStr">
        <is>
          <t>2024-09</t>
        </is>
      </c>
      <c r="B208" s="3" t="inlineStr">
        <is>
          <t>Savings</t>
        </is>
      </c>
      <c r="C208" s="11" t="n">
        <v>6000</v>
      </c>
      <c r="D208" s="11" t="n">
        <v>5448.18</v>
      </c>
      <c r="E208" s="12" t="n">
        <v>551.8199999999997</v>
      </c>
      <c r="F208" s="19" t="n">
        <v>90.8</v>
      </c>
      <c r="G208" s="20" t="inlineStr">
        <is>
          <t>NO</t>
        </is>
      </c>
    </row>
    <row r="209">
      <c r="A209" s="14" t="inlineStr">
        <is>
          <t>2024-09</t>
        </is>
      </c>
      <c r="B209" s="7" t="inlineStr">
        <is>
          <t>Shopping</t>
        </is>
      </c>
      <c r="C209" s="15" t="n">
        <v>3500</v>
      </c>
      <c r="D209" s="15" t="n">
        <v>1390.14</v>
      </c>
      <c r="E209" s="12" t="n">
        <v>2109.86</v>
      </c>
      <c r="F209" s="22" t="n">
        <v>39.72</v>
      </c>
      <c r="G209" s="20" t="inlineStr">
        <is>
          <t>NO</t>
        </is>
      </c>
    </row>
    <row r="210">
      <c r="A210" s="10" t="inlineStr">
        <is>
          <t>2024-09</t>
        </is>
      </c>
      <c r="B210" s="3" t="inlineStr">
        <is>
          <t>Transport</t>
        </is>
      </c>
      <c r="C210" s="11" t="n">
        <v>3000</v>
      </c>
      <c r="D210" s="11" t="n">
        <v>3781.18</v>
      </c>
      <c r="E210" s="21" t="n">
        <v>-781.1799999999998</v>
      </c>
      <c r="F210" s="24" t="n">
        <v>126.04</v>
      </c>
      <c r="G210" s="23" t="inlineStr">
        <is>
          <t>YES</t>
        </is>
      </c>
    </row>
    <row r="211">
      <c r="A211" s="14" t="inlineStr">
        <is>
          <t>2024-09</t>
        </is>
      </c>
      <c r="B211" s="7" t="inlineStr">
        <is>
          <t>Utilities</t>
        </is>
      </c>
      <c r="C211" s="15" t="n">
        <v>2000</v>
      </c>
      <c r="D211" s="15" t="n">
        <v>2809.64</v>
      </c>
      <c r="E211" s="21" t="n">
        <v>-809.6399999999999</v>
      </c>
      <c r="F211" s="24" t="n">
        <v>140.48</v>
      </c>
      <c r="G211" s="23" t="inlineStr">
        <is>
          <t>YES</t>
        </is>
      </c>
    </row>
    <row r="212">
      <c r="A212" s="10" t="inlineStr">
        <is>
          <t>2024-10</t>
        </is>
      </c>
      <c r="B212" s="3" t="inlineStr">
        <is>
          <t>Education</t>
        </is>
      </c>
      <c r="C212" s="11" t="n">
        <v>2500</v>
      </c>
      <c r="D212" s="11" t="n">
        <v>1535.87</v>
      </c>
      <c r="E212" s="12" t="n">
        <v>964.1300000000001</v>
      </c>
      <c r="F212" s="19" t="n">
        <v>61.43</v>
      </c>
      <c r="G212" s="20" t="inlineStr">
        <is>
          <t>NO</t>
        </is>
      </c>
    </row>
    <row r="213">
      <c r="A213" s="14" t="inlineStr">
        <is>
          <t>2024-10</t>
        </is>
      </c>
      <c r="B213" s="7" t="inlineStr">
        <is>
          <t>Entertainment</t>
        </is>
      </c>
      <c r="C213" s="15" t="n">
        <v>2000</v>
      </c>
      <c r="D213" s="15" t="n">
        <v>1647.06</v>
      </c>
      <c r="E213" s="12" t="n">
        <v>352.9400000000001</v>
      </c>
      <c r="F213" s="22" t="n">
        <v>82.34999999999999</v>
      </c>
      <c r="G213" s="20" t="inlineStr">
        <is>
          <t>NO</t>
        </is>
      </c>
    </row>
    <row r="214">
      <c r="A214" s="10" t="inlineStr">
        <is>
          <t>2024-10</t>
        </is>
      </c>
      <c r="B214" s="3" t="inlineStr">
        <is>
          <t>Food</t>
        </is>
      </c>
      <c r="C214" s="11" t="n">
        <v>6000</v>
      </c>
      <c r="D214" s="11" t="n">
        <v>6852.96</v>
      </c>
      <c r="E214" s="21" t="n">
        <v>-852.96</v>
      </c>
      <c r="F214" s="24" t="n">
        <v>114.22</v>
      </c>
      <c r="G214" s="23" t="inlineStr">
        <is>
          <t>YES</t>
        </is>
      </c>
    </row>
    <row r="215">
      <c r="A215" s="14" t="inlineStr">
        <is>
          <t>2024-10</t>
        </is>
      </c>
      <c r="B215" s="7" t="inlineStr">
        <is>
          <t>Healthcare</t>
        </is>
      </c>
      <c r="C215" s="15" t="n">
        <v>2000</v>
      </c>
      <c r="D215" s="15" t="n">
        <v>1738.59</v>
      </c>
      <c r="E215" s="12" t="n">
        <v>261.4100000000001</v>
      </c>
      <c r="F215" s="22" t="n">
        <v>86.93000000000001</v>
      </c>
      <c r="G215" s="20" t="inlineStr">
        <is>
          <t>NO</t>
        </is>
      </c>
    </row>
    <row r="216">
      <c r="A216" s="10" t="inlineStr">
        <is>
          <t>2024-10</t>
        </is>
      </c>
      <c r="B216" s="3" t="inlineStr">
        <is>
          <t>Housing</t>
        </is>
      </c>
      <c r="C216" s="11" t="n">
        <v>12500</v>
      </c>
      <c r="D216" s="11" t="n">
        <v>12038.02</v>
      </c>
      <c r="E216" s="12" t="n">
        <v>461.9799999999996</v>
      </c>
      <c r="F216" s="19" t="n">
        <v>96.3</v>
      </c>
      <c r="G216" s="20" t="inlineStr">
        <is>
          <t>NO</t>
        </is>
      </c>
    </row>
    <row r="217">
      <c r="A217" s="14" t="inlineStr">
        <is>
          <t>2024-10</t>
        </is>
      </c>
      <c r="B217" s="7" t="inlineStr">
        <is>
          <t>Miscellaneous</t>
        </is>
      </c>
      <c r="C217" s="15" t="n">
        <v>1500</v>
      </c>
      <c r="D217" s="15" t="n">
        <v>1112.38</v>
      </c>
      <c r="E217" s="12" t="n">
        <v>387.6199999999999</v>
      </c>
      <c r="F217" s="22" t="n">
        <v>74.16</v>
      </c>
      <c r="G217" s="20" t="inlineStr">
        <is>
          <t>NO</t>
        </is>
      </c>
    </row>
    <row r="218">
      <c r="A218" s="10" t="inlineStr">
        <is>
          <t>2024-10</t>
        </is>
      </c>
      <c r="B218" s="3" t="inlineStr">
        <is>
          <t>Savings</t>
        </is>
      </c>
      <c r="C218" s="11" t="n">
        <v>6000</v>
      </c>
      <c r="D218" s="11" t="n">
        <v>5145.21</v>
      </c>
      <c r="E218" s="12" t="n">
        <v>854.79</v>
      </c>
      <c r="F218" s="19" t="n">
        <v>85.75</v>
      </c>
      <c r="G218" s="20" t="inlineStr">
        <is>
          <t>NO</t>
        </is>
      </c>
    </row>
    <row r="219">
      <c r="A219" s="14" t="inlineStr">
        <is>
          <t>2024-10</t>
        </is>
      </c>
      <c r="B219" s="7" t="inlineStr">
        <is>
          <t>Shopping</t>
        </is>
      </c>
      <c r="C219" s="15" t="n">
        <v>3500</v>
      </c>
      <c r="D219" s="15" t="n">
        <v>2528.74</v>
      </c>
      <c r="E219" s="12" t="n">
        <v>971.2600000000002</v>
      </c>
      <c r="F219" s="22" t="n">
        <v>72.25</v>
      </c>
      <c r="G219" s="20" t="inlineStr">
        <is>
          <t>NO</t>
        </is>
      </c>
    </row>
    <row r="220">
      <c r="A220" s="10" t="inlineStr">
        <is>
          <t>2024-10</t>
        </is>
      </c>
      <c r="B220" s="3" t="inlineStr">
        <is>
          <t>Transport</t>
        </is>
      </c>
      <c r="C220" s="11" t="n">
        <v>3000</v>
      </c>
      <c r="D220" s="11" t="n">
        <v>3058.48</v>
      </c>
      <c r="E220" s="21" t="n">
        <v>-58.48000000000002</v>
      </c>
      <c r="F220" s="24" t="n">
        <v>101.95</v>
      </c>
      <c r="G220" s="23" t="inlineStr">
        <is>
          <t>YES</t>
        </is>
      </c>
    </row>
    <row r="221">
      <c r="A221" s="14" t="inlineStr">
        <is>
          <t>2024-10</t>
        </is>
      </c>
      <c r="B221" s="7" t="inlineStr">
        <is>
          <t>Utilities</t>
        </is>
      </c>
      <c r="C221" s="15" t="n">
        <v>2000</v>
      </c>
      <c r="D221" s="15" t="n">
        <v>2212.5</v>
      </c>
      <c r="E221" s="21" t="n">
        <v>-212.5</v>
      </c>
      <c r="F221" s="24" t="n">
        <v>110.62</v>
      </c>
      <c r="G221" s="23" t="inlineStr">
        <is>
          <t>YES</t>
        </is>
      </c>
    </row>
    <row r="222">
      <c r="A222" s="10" t="inlineStr">
        <is>
          <t>2024-11</t>
        </is>
      </c>
      <c r="B222" s="3" t="inlineStr">
        <is>
          <t>Education</t>
        </is>
      </c>
      <c r="C222" s="11" t="n">
        <v>2500</v>
      </c>
      <c r="D222" s="11" t="n">
        <v>1336.36</v>
      </c>
      <c r="E222" s="12" t="n">
        <v>1163.64</v>
      </c>
      <c r="F222" s="19" t="n">
        <v>53.45</v>
      </c>
      <c r="G222" s="20" t="inlineStr">
        <is>
          <t>NO</t>
        </is>
      </c>
    </row>
    <row r="223">
      <c r="A223" s="14" t="inlineStr">
        <is>
          <t>2024-11</t>
        </is>
      </c>
      <c r="B223" s="7" t="inlineStr">
        <is>
          <t>Entertainment</t>
        </is>
      </c>
      <c r="C223" s="15" t="n">
        <v>2000</v>
      </c>
      <c r="D223" s="15" t="n">
        <v>1681.16</v>
      </c>
      <c r="E223" s="12" t="n">
        <v>318.8399999999999</v>
      </c>
      <c r="F223" s="22" t="n">
        <v>84.06</v>
      </c>
      <c r="G223" s="20" t="inlineStr">
        <is>
          <t>NO</t>
        </is>
      </c>
    </row>
    <row r="224">
      <c r="A224" s="10" t="inlineStr">
        <is>
          <t>2024-11</t>
        </is>
      </c>
      <c r="B224" s="3" t="inlineStr">
        <is>
          <t>Food</t>
        </is>
      </c>
      <c r="C224" s="11" t="n">
        <v>6000</v>
      </c>
      <c r="D224" s="11" t="n">
        <v>5719.66</v>
      </c>
      <c r="E224" s="12" t="n">
        <v>280.3400000000001</v>
      </c>
      <c r="F224" s="19" t="n">
        <v>95.33</v>
      </c>
      <c r="G224" s="20" t="inlineStr">
        <is>
          <t>NO</t>
        </is>
      </c>
    </row>
    <row r="225">
      <c r="A225" s="14" t="inlineStr">
        <is>
          <t>2024-11</t>
        </is>
      </c>
      <c r="B225" s="7" t="inlineStr">
        <is>
          <t>Healthcare</t>
        </is>
      </c>
      <c r="C225" s="15" t="n">
        <v>2000</v>
      </c>
      <c r="D225" s="15" t="n">
        <v>2176.83</v>
      </c>
      <c r="E225" s="21" t="n">
        <v>-176.8299999999999</v>
      </c>
      <c r="F225" s="24" t="n">
        <v>108.84</v>
      </c>
      <c r="G225" s="23" t="inlineStr">
        <is>
          <t>YES</t>
        </is>
      </c>
    </row>
    <row r="226">
      <c r="A226" s="10" t="inlineStr">
        <is>
          <t>2024-11</t>
        </is>
      </c>
      <c r="B226" s="3" t="inlineStr">
        <is>
          <t>Housing</t>
        </is>
      </c>
      <c r="C226" s="11" t="n">
        <v>12500</v>
      </c>
      <c r="D226" s="11" t="n">
        <v>12384.36</v>
      </c>
      <c r="E226" s="12" t="n">
        <v>115.6399999999994</v>
      </c>
      <c r="F226" s="19" t="n">
        <v>99.06999999999999</v>
      </c>
      <c r="G226" s="20" t="inlineStr">
        <is>
          <t>NO</t>
        </is>
      </c>
    </row>
    <row r="227">
      <c r="A227" s="14" t="inlineStr">
        <is>
          <t>2024-11</t>
        </is>
      </c>
      <c r="B227" s="7" t="inlineStr">
        <is>
          <t>Miscellaneous</t>
        </is>
      </c>
      <c r="C227" s="15" t="n">
        <v>1500</v>
      </c>
      <c r="D227" s="15" t="n">
        <v>1940.82</v>
      </c>
      <c r="E227" s="21" t="n">
        <v>-440.8199999999999</v>
      </c>
      <c r="F227" s="24" t="n">
        <v>129.39</v>
      </c>
      <c r="G227" s="23" t="inlineStr">
        <is>
          <t>YES</t>
        </is>
      </c>
    </row>
    <row r="228">
      <c r="A228" s="10" t="inlineStr">
        <is>
          <t>2024-11</t>
        </is>
      </c>
      <c r="B228" s="3" t="inlineStr">
        <is>
          <t>Savings</t>
        </is>
      </c>
      <c r="C228" s="11" t="n">
        <v>6000</v>
      </c>
      <c r="D228" s="11" t="n">
        <v>6349.71</v>
      </c>
      <c r="E228" s="21" t="n">
        <v>-349.71</v>
      </c>
      <c r="F228" s="24" t="n">
        <v>105.83</v>
      </c>
      <c r="G228" s="23" t="inlineStr">
        <is>
          <t>YES</t>
        </is>
      </c>
    </row>
    <row r="229">
      <c r="A229" s="14" t="inlineStr">
        <is>
          <t>2024-11</t>
        </is>
      </c>
      <c r="B229" s="7" t="inlineStr">
        <is>
          <t>Shopping</t>
        </is>
      </c>
      <c r="C229" s="15" t="n">
        <v>3500</v>
      </c>
      <c r="D229" s="15" t="n">
        <v>2726.48</v>
      </c>
      <c r="E229" s="12" t="n">
        <v>773.52</v>
      </c>
      <c r="F229" s="22" t="n">
        <v>77.90000000000001</v>
      </c>
      <c r="G229" s="20" t="inlineStr">
        <is>
          <t>NO</t>
        </is>
      </c>
    </row>
    <row r="230">
      <c r="A230" s="10" t="inlineStr">
        <is>
          <t>2024-11</t>
        </is>
      </c>
      <c r="B230" s="3" t="inlineStr">
        <is>
          <t>Transport</t>
        </is>
      </c>
      <c r="C230" s="11" t="n">
        <v>3000</v>
      </c>
      <c r="D230" s="11" t="n">
        <v>3720.11</v>
      </c>
      <c r="E230" s="21" t="n">
        <v>-720.1100000000001</v>
      </c>
      <c r="F230" s="24" t="n">
        <v>124</v>
      </c>
      <c r="G230" s="23" t="inlineStr">
        <is>
          <t>YES</t>
        </is>
      </c>
    </row>
    <row r="231">
      <c r="A231" s="14" t="inlineStr">
        <is>
          <t>2024-11</t>
        </is>
      </c>
      <c r="B231" s="7" t="inlineStr">
        <is>
          <t>Utilities</t>
        </is>
      </c>
      <c r="C231" s="15" t="n">
        <v>2000</v>
      </c>
      <c r="D231" s="15" t="n">
        <v>2003.69</v>
      </c>
      <c r="E231" s="21" t="n">
        <v>-3.690000000000055</v>
      </c>
      <c r="F231" s="24" t="n">
        <v>100.18</v>
      </c>
      <c r="G231" s="23" t="inlineStr">
        <is>
          <t>YES</t>
        </is>
      </c>
    </row>
    <row r="232">
      <c r="A232" s="10" t="inlineStr">
        <is>
          <t>2024-12</t>
        </is>
      </c>
      <c r="B232" s="3" t="inlineStr">
        <is>
          <t>Education</t>
        </is>
      </c>
      <c r="C232" s="11" t="n">
        <v>2500</v>
      </c>
      <c r="D232" s="11" t="n">
        <v>2050.95</v>
      </c>
      <c r="E232" s="12" t="n">
        <v>449.0500000000002</v>
      </c>
      <c r="F232" s="19" t="n">
        <v>82.04000000000001</v>
      </c>
      <c r="G232" s="20" t="inlineStr">
        <is>
          <t>NO</t>
        </is>
      </c>
    </row>
    <row r="233">
      <c r="A233" s="14" t="inlineStr">
        <is>
          <t>2024-12</t>
        </is>
      </c>
      <c r="B233" s="7" t="inlineStr">
        <is>
          <t>Entertainment</t>
        </is>
      </c>
      <c r="C233" s="15" t="n">
        <v>2000</v>
      </c>
      <c r="D233" s="15" t="n">
        <v>2894.38</v>
      </c>
      <c r="E233" s="21" t="n">
        <v>-894.3800000000001</v>
      </c>
      <c r="F233" s="24" t="n">
        <v>144.72</v>
      </c>
      <c r="G233" s="23" t="inlineStr">
        <is>
          <t>YES</t>
        </is>
      </c>
    </row>
    <row r="234">
      <c r="A234" s="10" t="inlineStr">
        <is>
          <t>2024-12</t>
        </is>
      </c>
      <c r="B234" s="3" t="inlineStr">
        <is>
          <t>Food</t>
        </is>
      </c>
      <c r="C234" s="11" t="n">
        <v>6000</v>
      </c>
      <c r="D234" s="11" t="n">
        <v>8489.530000000001</v>
      </c>
      <c r="E234" s="21" t="n">
        <v>-2489.530000000001</v>
      </c>
      <c r="F234" s="24" t="n">
        <v>141.49</v>
      </c>
      <c r="G234" s="23" t="inlineStr">
        <is>
          <t>YES</t>
        </is>
      </c>
    </row>
    <row r="235">
      <c r="A235" s="14" t="inlineStr">
        <is>
          <t>2024-12</t>
        </is>
      </c>
      <c r="B235" s="7" t="inlineStr">
        <is>
          <t>Healthcare</t>
        </is>
      </c>
      <c r="C235" s="15" t="n">
        <v>2000</v>
      </c>
      <c r="D235" s="15" t="n">
        <v>693.76</v>
      </c>
      <c r="E235" s="12" t="n">
        <v>1306.24</v>
      </c>
      <c r="F235" s="22" t="n">
        <v>34.69</v>
      </c>
      <c r="G235" s="20" t="inlineStr">
        <is>
          <t>NO</t>
        </is>
      </c>
    </row>
    <row r="236">
      <c r="A236" s="10" t="inlineStr">
        <is>
          <t>2024-12</t>
        </is>
      </c>
      <c r="B236" s="3" t="inlineStr">
        <is>
          <t>Housing</t>
        </is>
      </c>
      <c r="C236" s="11" t="n">
        <v>12500</v>
      </c>
      <c r="D236" s="11" t="n">
        <v>13187.16</v>
      </c>
      <c r="E236" s="21" t="n">
        <v>-687.1599999999999</v>
      </c>
      <c r="F236" s="24" t="n">
        <v>105.5</v>
      </c>
      <c r="G236" s="23" t="inlineStr">
        <is>
          <t>YES</t>
        </is>
      </c>
    </row>
    <row r="237">
      <c r="A237" s="14" t="inlineStr">
        <is>
          <t>2024-12</t>
        </is>
      </c>
      <c r="B237" s="7" t="inlineStr">
        <is>
          <t>Miscellaneous</t>
        </is>
      </c>
      <c r="C237" s="15" t="n">
        <v>1500</v>
      </c>
      <c r="D237" s="15" t="n">
        <v>1842.32</v>
      </c>
      <c r="E237" s="21" t="n">
        <v>-342.3199999999999</v>
      </c>
      <c r="F237" s="24" t="n">
        <v>122.82</v>
      </c>
      <c r="G237" s="23" t="inlineStr">
        <is>
          <t>YES</t>
        </is>
      </c>
    </row>
    <row r="238">
      <c r="A238" s="10" t="inlineStr">
        <is>
          <t>2024-12</t>
        </is>
      </c>
      <c r="B238" s="3" t="inlineStr">
        <is>
          <t>Savings</t>
        </is>
      </c>
      <c r="C238" s="11" t="n">
        <v>6000</v>
      </c>
      <c r="D238" s="11" t="n">
        <v>2997.79</v>
      </c>
      <c r="E238" s="12" t="n">
        <v>3002.21</v>
      </c>
      <c r="F238" s="19" t="n">
        <v>49.96</v>
      </c>
      <c r="G238" s="20" t="inlineStr">
        <is>
          <t>NO</t>
        </is>
      </c>
    </row>
    <row r="239">
      <c r="A239" s="14" t="inlineStr">
        <is>
          <t>2024-12</t>
        </is>
      </c>
      <c r="B239" s="7" t="inlineStr">
        <is>
          <t>Shopping</t>
        </is>
      </c>
      <c r="C239" s="15" t="n">
        <v>3500</v>
      </c>
      <c r="D239" s="15" t="n">
        <v>3819.23</v>
      </c>
      <c r="E239" s="21" t="n">
        <v>-319.23</v>
      </c>
      <c r="F239" s="24" t="n">
        <v>109.12</v>
      </c>
      <c r="G239" s="23" t="inlineStr">
        <is>
          <t>YES</t>
        </is>
      </c>
    </row>
    <row r="240">
      <c r="A240" s="10" t="inlineStr">
        <is>
          <t>2024-12</t>
        </is>
      </c>
      <c r="B240" s="3" t="inlineStr">
        <is>
          <t>Transport</t>
        </is>
      </c>
      <c r="C240" s="11" t="n">
        <v>3000</v>
      </c>
      <c r="D240" s="11" t="n">
        <v>2674.63</v>
      </c>
      <c r="E240" s="12" t="n">
        <v>325.3699999999999</v>
      </c>
      <c r="F240" s="19" t="n">
        <v>89.15000000000001</v>
      </c>
      <c r="G240" s="20" t="inlineStr">
        <is>
          <t>NO</t>
        </is>
      </c>
    </row>
    <row r="241">
      <c r="A241" s="14" t="inlineStr">
        <is>
          <t>2024-12</t>
        </is>
      </c>
      <c r="B241" s="7" t="inlineStr">
        <is>
          <t>Utilities</t>
        </is>
      </c>
      <c r="C241" s="15" t="n">
        <v>2000</v>
      </c>
      <c r="D241" s="15" t="n">
        <v>2053.86</v>
      </c>
      <c r="E241" s="21" t="n">
        <v>-53.86000000000013</v>
      </c>
      <c r="F241" s="24" t="n">
        <v>102.69</v>
      </c>
      <c r="G241" s="23" t="inlineStr">
        <is>
          <t>YES</t>
        </is>
      </c>
    </row>
  </sheetData>
  <autoFilter ref="A1:G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5" t="inlineStr">
        <is>
          <t>🔮 Financial Scenario / What-If Analysis</t>
        </is>
      </c>
    </row>
    <row r="2">
      <c r="A2" s="1" t="inlineStr">
        <is>
          <t>Scenario</t>
        </is>
      </c>
      <c r="B2" s="1" t="inlineStr">
        <is>
          <t>Salary Δ%</t>
        </is>
      </c>
      <c r="C2" s="1" t="inlineStr">
        <is>
          <t>Expense Δ%</t>
        </is>
      </c>
      <c r="D2" s="1" t="inlineStr">
        <is>
          <t>New Income</t>
        </is>
      </c>
      <c r="E2" s="1" t="inlineStr">
        <is>
          <t>New Expense</t>
        </is>
      </c>
      <c r="F2" s="1" t="inlineStr">
        <is>
          <t>New Savings</t>
        </is>
      </c>
      <c r="G2" s="1" t="inlineStr">
        <is>
          <t>Savings Rate%</t>
        </is>
      </c>
      <c r="H2" s="1" t="inlineStr">
        <is>
          <t>Impact</t>
        </is>
      </c>
    </row>
    <row r="3">
      <c r="A3" s="26" t="inlineStr">
        <is>
          <t>Baseline</t>
        </is>
      </c>
      <c r="B3" s="27" t="n">
        <v>0</v>
      </c>
      <c r="C3" s="27" t="n">
        <v>0</v>
      </c>
      <c r="D3" s="15" t="n">
        <v>56280.26</v>
      </c>
      <c r="E3" s="15" t="n">
        <v>41778.2</v>
      </c>
      <c r="F3" s="12" t="n">
        <v>14502.06</v>
      </c>
      <c r="G3" s="13" t="n">
        <v>25.77</v>
      </c>
      <c r="H3" s="23" t="inlineStr">
        <is>
          <t>Negative ⚠️</t>
        </is>
      </c>
    </row>
    <row r="4">
      <c r="A4" s="3" t="inlineStr">
        <is>
          <t>+10% Salary</t>
        </is>
      </c>
      <c r="B4" s="28" t="n">
        <v>10</v>
      </c>
      <c r="C4" s="28" t="n">
        <v>0</v>
      </c>
      <c r="D4" s="11" t="n">
        <v>61908.29</v>
      </c>
      <c r="E4" s="11" t="n">
        <v>41778.2</v>
      </c>
      <c r="F4" s="12" t="n">
        <v>20130.09</v>
      </c>
      <c r="G4" s="13" t="n">
        <v>32.52</v>
      </c>
      <c r="H4" s="20" t="inlineStr">
        <is>
          <t>Positive ✅</t>
        </is>
      </c>
    </row>
    <row r="5">
      <c r="A5" s="7" t="inlineStr">
        <is>
          <t>+20% Salary</t>
        </is>
      </c>
      <c r="B5" s="27" t="n">
        <v>20</v>
      </c>
      <c r="C5" s="27" t="n">
        <v>0</v>
      </c>
      <c r="D5" s="15" t="n">
        <v>67536.32000000001</v>
      </c>
      <c r="E5" s="15" t="n">
        <v>41778.2</v>
      </c>
      <c r="F5" s="12" t="n">
        <v>25758.11</v>
      </c>
      <c r="G5" s="13" t="n">
        <v>38.14</v>
      </c>
      <c r="H5" s="20" t="inlineStr">
        <is>
          <t>Positive ✅</t>
        </is>
      </c>
    </row>
    <row r="6">
      <c r="A6" s="3" t="inlineStr">
        <is>
          <t>-10% Salary</t>
        </is>
      </c>
      <c r="B6" s="28" t="n">
        <v>-10</v>
      </c>
      <c r="C6" s="28" t="n">
        <v>0</v>
      </c>
      <c r="D6" s="11" t="n">
        <v>50652.24</v>
      </c>
      <c r="E6" s="11" t="n">
        <v>41778.2</v>
      </c>
      <c r="F6" s="12" t="n">
        <v>8874.030000000001</v>
      </c>
      <c r="G6" s="13" t="n">
        <v>17.52</v>
      </c>
      <c r="H6" s="23" t="inlineStr">
        <is>
          <t>Negative ⚠️</t>
        </is>
      </c>
    </row>
    <row r="7">
      <c r="A7" s="7" t="inlineStr">
        <is>
          <t>+10% Expenses</t>
        </is>
      </c>
      <c r="B7" s="27" t="n">
        <v>0</v>
      </c>
      <c r="C7" s="27" t="n">
        <v>10</v>
      </c>
      <c r="D7" s="15" t="n">
        <v>56280.26</v>
      </c>
      <c r="E7" s="15" t="n">
        <v>45956.02</v>
      </c>
      <c r="F7" s="12" t="n">
        <v>10324.24</v>
      </c>
      <c r="G7" s="13" t="n">
        <v>18.34</v>
      </c>
      <c r="H7" s="23" t="inlineStr">
        <is>
          <t>Negative ⚠️</t>
        </is>
      </c>
    </row>
    <row r="8">
      <c r="A8" s="3" t="inlineStr">
        <is>
          <t>+20% Expenses</t>
        </is>
      </c>
      <c r="B8" s="28" t="n">
        <v>0</v>
      </c>
      <c r="C8" s="28" t="n">
        <v>20</v>
      </c>
      <c r="D8" s="11" t="n">
        <v>56280.26</v>
      </c>
      <c r="E8" s="11" t="n">
        <v>50133.84</v>
      </c>
      <c r="F8" s="12" t="n">
        <v>6146.42</v>
      </c>
      <c r="G8" s="13" t="n">
        <v>10.92</v>
      </c>
      <c r="H8" s="23" t="inlineStr">
        <is>
          <t>Negative ⚠️</t>
        </is>
      </c>
    </row>
    <row r="9">
      <c r="A9" s="7" t="inlineStr">
        <is>
          <t>+10% Sal +10% Exp</t>
        </is>
      </c>
      <c r="B9" s="27" t="n">
        <v>10</v>
      </c>
      <c r="C9" s="27" t="n">
        <v>10</v>
      </c>
      <c r="D9" s="15" t="n">
        <v>61908.29</v>
      </c>
      <c r="E9" s="15" t="n">
        <v>45956.02</v>
      </c>
      <c r="F9" s="12" t="n">
        <v>15952.27</v>
      </c>
      <c r="G9" s="13" t="n">
        <v>25.77</v>
      </c>
      <c r="H9" s="20" t="inlineStr">
        <is>
          <t>Positive ✅</t>
        </is>
      </c>
    </row>
    <row r="10">
      <c r="A10" s="3" t="inlineStr">
        <is>
          <t>+20% Sal -10% Exp</t>
        </is>
      </c>
      <c r="B10" s="28" t="n">
        <v>20</v>
      </c>
      <c r="C10" s="28" t="n">
        <v>-10</v>
      </c>
      <c r="D10" s="11" t="n">
        <v>67536.32000000001</v>
      </c>
      <c r="E10" s="11" t="n">
        <v>37600.38</v>
      </c>
      <c r="F10" s="12" t="n">
        <v>29935.93</v>
      </c>
      <c r="G10" s="13" t="n">
        <v>44.33</v>
      </c>
      <c r="H10" s="20" t="inlineStr">
        <is>
          <t>Positive ✅</t>
        </is>
      </c>
    </row>
    <row r="12">
      <c r="A12" s="29" t="inlineStr">
        <is>
          <t>ℹ  Assumptions: All changes are applied to the 2-year average monthly income/expense baseline.  Savings Rate = (New Savings / New Income) × 100.</t>
        </is>
      </c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2026-05-17T16:41:17Z</dcterms:created>
  <dcterms:modified xmlns:dcterms="http://purl.org/dc/terms/" xmlns:xsi="http://www.w3.org/2001/XMLSchema-instance" xsi:type="dcterms:W3CDTF">2026-05-17T16:41:18Z</dcterms:modified>
</cp:coreProperties>
</file>